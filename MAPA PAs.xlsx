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nata\Desktop\"/>
    </mc:Choice>
  </mc:AlternateContent>
  <bookViews>
    <workbookView xWindow="0" yWindow="0" windowWidth="20490" windowHeight="8445" tabRatio="888"/>
  </bookViews>
  <sheets>
    <sheet name="Parâmetros" sheetId="1" r:id="rId1"/>
    <sheet name="Relatório" sheetId="4" r:id="rId2"/>
    <sheet name="Estoque Inicial" sheetId="2" r:id="rId3"/>
    <sheet name="Estoque Final" sheetId="3" r:id="rId4"/>
    <sheet name="Produções" sheetId="5" r:id="rId5"/>
    <sheet name="Vendas PR" sheetId="6" r:id="rId6"/>
    <sheet name="Vendas EX" sheetId="7" r:id="rId7"/>
    <sheet name="Outras Vendas" sheetId="8" r:id="rId8"/>
    <sheet name="Dev. PR" sheetId="9" r:id="rId9"/>
    <sheet name="Dev. Ex" sheetId="10" r:id="rId10"/>
    <sheet name="Dev. UFs" sheetId="11" r:id="rId11"/>
  </sheets>
  <definedNames>
    <definedName name="Consulta_de_agrocete" localSheetId="9" hidden="1">'Dev. Ex'!$B$2:$J$3</definedName>
    <definedName name="Consulta_de_agrocete" localSheetId="8" hidden="1">'Dev. PR'!$B$2:$J$28</definedName>
    <definedName name="Consulta_de_agrocete" localSheetId="10" hidden="1">'Dev. UFs'!$B$2:$J$88</definedName>
    <definedName name="Consulta_de_agrocete" localSheetId="3" hidden="1">'Estoque Final'!$B$2:$E$1169</definedName>
    <definedName name="Consulta_de_agrocete" localSheetId="2" hidden="1">'Estoque Inicial'!$B$2:$E$1137</definedName>
    <definedName name="Consulta_de_agrocete" localSheetId="7" hidden="1">'Outras Vendas'!$B$2:$J$733</definedName>
    <definedName name="Consulta_de_agrocete" localSheetId="4" hidden="1">Produções!$B$2:$G$489</definedName>
    <definedName name="Consulta_de_agrocete" localSheetId="1" hidden="1">Relatório!$B$2:$B$112</definedName>
    <definedName name="Consulta_de_agrocete" localSheetId="6" hidden="1">'Vendas EX'!$B$2:$J$28</definedName>
    <definedName name="Consulta_de_agrocete" localSheetId="5" hidden="1">'Vendas PR'!$B$2:$I$621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E3" i="1" l="1"/>
  <c r="E2" i="1"/>
</calcChain>
</file>

<file path=xl/comments1.xml><?xml version="1.0" encoding="utf-8"?>
<comments xmlns="http://schemas.openxmlformats.org/spreadsheetml/2006/main">
  <authors>
    <author>Djonata Guizzo</author>
  </authors>
  <commentList>
    <comment ref="B2" authorId="0" shapeId="0">
      <text>
        <r>
          <rPr>
            <b/>
            <sz val="9"/>
            <color indexed="81"/>
            <rFont val="Segoe UI"/>
            <family val="2"/>
          </rPr>
          <t>Colocar 1 dia antes da data de início real</t>
        </r>
      </text>
    </comment>
  </commentList>
</comments>
</file>

<file path=xl/connections.xml><?xml version="1.0" encoding="utf-8"?>
<connections xmlns="http://schemas.openxmlformats.org/spreadsheetml/2006/main">
  <connection id="1" name="Dev. Ex" type="1" refreshedVersion="5" savePassword="1" background="1" saveData="1">
    <dbPr connection="DSN=agrocete;Description=agrocete;UID=vamilly;PWD=vam@2014;APP=Microsoft Office 2013;WSID=DJONATA-VAIO;DATABASE=P11Producao" command="SELECT_x000d__x000a__x0009_'D' AS TIPO,_x000d__x000a__x0009_B5_CODCERT AS REGISTRO,_x000d__x000a__x0009_B5_COD AS PRODUTO,_x000d__x000a__x0009_B1_DESC AS 'DESCRIÇÃO',_x000d__x000a__x0009_D1_QUANT AS VENDAS,_x000d__x000a__x0009_D1_DOC AS DOC,_x000d__x000a__x0009_D1_DTDIGIT AS 'EMISSÃO',_x000d__x000a__x0009_A1_EST AS UF,_x000d__x000a__x0009_A1_PAISORI AS 'PAÍS'_x000d__x000a_FROM_x000d__x000a__x0009_SB1010 SB1,_x000d__x000a__x0009_SB5010 SB5,_x000d__x000a__x0009_SD1010 SD1,_x000d__x000a__x0009_SF4010 SF4,_x000d__x000a__x0009_SA1010 SA1_x000d__x000a_WHERE_x000d__x000a__x0009_B1_TIPO = 'PA'_x000d__x000a__x0009_AND SB1.D_E_L_E_T_ = ''_x000d__x000a__x0009_AND SB5.D_E_L_E_T_ = ''_x000d__x000a__x0009_AND SD1.D_E_L_E_T_ = ''_x000d__x000a__x0009_AND D1_COD = B1_COD _x000d__x000a__x0009_AND B1_COD = B5_COD_x000d__x000a__x0009_AND D1_DTDIGIT &gt; ?_x000d__x000a__x0009_AND D1_DTDIGIT &lt;= ?_x000d__x000a__x0009_AND SF4.D_E_L_E_T_ = ''_x000d__x000a__x0009_AND F4_CODIGO = D1_TES_x000d__x000a__x0009_AND F4_DUPLIC = 'S'_x000d__x000a__x0009_AND F4_ESTOQUE = 'S'_x000d__x000a__x0009_AND D1_TIPO = 'D'_x000d__x000a__x0009_AND A1_EST = 'EX'_x000d__x000a__x0009_AND SA1.D_E_L_E_T_ = ''_x000d__x000a__x0009_AND A1_COD+A1_LOJA = D1_FORNECE+D1_LOJA"/>
    <parameters count="2">
      <parameter name="Parâmetro1" parameterType="cell" cell="Parâmetros!$E$2"/>
      <parameter name="Parâmetro2" parameterType="cell" cell="Parâmetros!$E$3"/>
    </parameters>
  </connection>
  <connection id="2" name="Dev. Outras UFs" type="1" refreshedVersion="5" savePassword="1" background="1" saveData="1">
    <dbPr connection="DSN=agrocete;Description=agrocete;UID=vamilly;PWD=vam@2014;APP=Microsoft Office 2013;WSID=DJONATA-VAIO;DATABASE=P11Producao" command="SELECT_x000d__x000a__x0009_'D' AS TIPO,_x000d__x000a__x0009_B5_CODCERT AS REGISTRO,_x000d__x000a__x0009_B5_COD AS PRODUTO,_x000d__x000a__x0009_B1_DESC AS 'DESCRIÇÃO',_x000d__x000a__x0009_D1_QUANT AS VENDAS,_x000d__x000a__x0009_D1_DOC AS DOC,_x000d__x000a__x0009_D1_DTDIGIT AS 'EMISSÃO',_x000d__x000a__x0009_A1_EST AS UF,_x000d__x000a__x0009_A1_PAISORI AS 'PAÍS'_x000d__x000a_FROM_x000d__x000a__x0009_SB1010 SB1,_x000d__x000a__x0009_SB5010 SB5,_x000d__x000a__x0009_SD1010 SD1,_x000d__x000a__x0009_SF4010 SF4,_x000d__x000a__x0009_SA1010 SA1_x000d__x000a_WHERE_x000d__x000a__x0009_B1_TIPO = 'PA'_x000d__x000a__x0009_AND SB1.D_E_L_E_T_ = ''_x000d__x000a__x0009_AND SB5.D_E_L_E_T_ = ''_x000d__x000a__x0009_AND SD1.D_E_L_E_T_ = ''_x000d__x000a__x0009_AND D1_COD = B1_COD _x000d__x000a__x0009_AND B1_COD = B5_COD_x000d__x000a__x0009_AND D1_DTDIGIT &gt; ?_x000d__x000a__x0009_AND D1_DTDIGIT &lt;= ?_x000d__x000a__x0009_AND SF4.D_E_L_E_T_ = ''_x000d__x000a__x0009_AND F4_CODIGO = D1_TES_x000d__x000a__x0009_AND F4_DUPLIC = 'S'_x000d__x000a__x0009_AND F4_ESTOQUE = 'S'_x000d__x000a__x0009_AND D1_TIPO = 'D'_x000d__x000a__x0009_AND A1_EST NOT IN ('PR', 'EX')_x000d__x000a__x0009_AND SA1.D_E_L_E_T_ = ''_x000d__x000a__x0009_AND A1_COD+A1_LOJA = D1_FORNECE+D1_LOJA"/>
    <parameters count="2">
      <parameter name="Parâmetro1" parameterType="cell" cell="Parâmetros!$E$2"/>
      <parameter name="Parâmetro2" parameterType="cell" cell="Parâmetros!$E$3"/>
    </parameters>
  </connection>
  <connection id="3" name="Dev. PR" type="1" refreshedVersion="5" savePassword="1" background="1" saveData="1">
    <dbPr connection="DSN=agrocete;Description=agrocete;UID=vamilly;PWD=vam@2014;APP=Microsoft Office 2013;WSID=DJONATA-VAIO;DATABASE=P11Producao" command="SELECT_x000d__x000a__x0009_'D' AS TIPO,_x000d__x000a__x0009_B5_CODCERT AS REGISTRO,_x000d__x000a__x0009_B5_COD AS PRODUTO,_x000d__x000a__x0009_B1_DESC AS 'DESCRIÇÃO',_x000d__x000a__x0009_D1_QUANT AS VENDAS,_x000d__x000a__x0009_D1_DOC AS DOC,_x000d__x000a__x0009_D1_DTDIGIT AS 'EMISSÃO',_x000d__x000a__x0009_A1_EST AS UF,_x000d__x000a__x0009_A1_PAISORI AS 'PAÍS'_x000d__x000a_FROM_x000d__x000a__x0009_SB1010 SB1,_x000d__x000a__x0009_SB5010 SB5,_x000d__x000a__x0009_SD1010 SD1,_x000d__x000a__x0009_SF4010 SF4,_x000d__x000a__x0009_SA1010 SA1_x000d__x000a_WHERE_x000d__x000a__x0009_B1_TIPO = 'PA'_x000d__x000a__x0009_AND SB1.D_E_L_E_T_ = ''_x000d__x000a__x0009_AND SB5.D_E_L_E_T_ = ''_x000d__x000a__x0009_AND SD1.D_E_L_E_T_ = ''_x000d__x000a__x0009_AND D1_COD = B1_COD _x000d__x000a__x0009_AND B1_COD = B5_COD_x000d__x000a__x0009_AND D1_DTDIGIT &gt; ?_x000d__x000a__x0009_AND D1_DTDIGIT &lt;= ?_x000d__x000a__x0009_AND SF4.D_E_L_E_T_ = ''_x000d__x000a__x0009_AND F4_CODIGO = D1_TES_x000d__x000a__x0009_AND F4_DUPLIC = 'S'_x000d__x000a__x0009_AND F4_ESTOQUE = 'S'_x000d__x000a__x0009_AND D1_TIPO = 'D'_x000d__x000a__x0009_AND A1_EST IN ('PR')_x000d__x000a__x0009_AND SA1.D_E_L_E_T_ = ''_x000d__x000a__x0009_AND A1_COD+A1_LOJA = D1_FORNECE+D1_LOJA"/>
    <parameters count="2">
      <parameter name="Parâmetro1" parameterType="cell" cell="Parâmetros!$E$2"/>
      <parameter name="Parâmetro2" parameterType="cell" cell="Parâmetros!$E$3"/>
    </parameters>
  </connection>
  <connection id="4" name="Produções" type="1" refreshedVersion="5" savePassword="1" background="1" saveData="1">
    <dbPr connection="DSN=agrocete;Description=agrocete;UID=vamilly;PWD=vam@2014;APP=Microsoft Office 2013;WSID=DJONATA-VAIO;DATABASE=P11Producao" command="SELECT_x000d__x000a__x0009_B5_CODCERT AS REGISTRO,_x000d__x000a__x0009_B5_COD AS PRODUTO,_x000d__x000a__x0009_B1_DESC AS 'DESCRIÇÃO',_x000d__x000a__x0009_CASE_x000d__x000a__x0009__x0009_WHEN D3_CF = 'RE0' THEN D3_QUANT * -1_x000d__x000a__x0009__x0009_ELSE D3_QUANT _x000d__x000a__x0009_END AS PRODUZIDO,_x000d__x000a__x0009_D3_OP AS OP,_x000d__x000a__x0009_D3_EMISSAO AS 'DT. PRODUÇÃO'_x000d__x000a__x0009__x000d__x000a_FROM_x000d__x000a__x0009_SB1010 SB1,_x000d__x000a__x0009_SB5010 SB5,_x000d__x000a__x0009_SD3010 SD3_x000d__x000a_WHERE_x000d__x000a__x0009_B1_TIPO = 'PA'_x000d__x000a__x0009_AND SB1.D_E_L_E_T_ = ''_x000d__x000a__x0009_AND SB5.D_E_L_E_T_ = ''_x000d__x000a__x0009_AND SD3.D_E_L_E_T_ = ''_x000d__x000a__x0009_AND D3_COD = B1_COD _x000d__x000a__x0009_AND B1_COD = B5_COD_x000d__x000a__x0009_AND D3_EMISSAO &gt; ?_x000d__x000a__x0009_AND D3_EMISSAO &lt;= ?_x000d__x000a__x0009_AND D3_CF IN ('PR0', 'PR1', 'RE0')"/>
    <parameters count="2">
      <parameter name="Parâmetro1" parameterType="cell" cell="Parâmetros!$E$2"/>
      <parameter name="Parâmetro2" parameterType="cell" cell="Parâmetros!$E$3"/>
    </parameters>
  </connection>
  <connection id="5" name="Registros" type="1" refreshedVersion="5" savePassword="1" background="1" saveData="1">
    <dbPr connection="DSN=agrocete;Description=agrocete;UID=vamilly;PWD=vam@2014;APP=Microsoft Office 2013;WSID=DJONATA-VAIO;DATABASE=P11Producao" command="SELECT_x000d__x000a__x0009_DISTINCT B5_CODCERT as REGISTRO_x000d__x000a_FROM_x000d__x000a__x0009_SB5010 SB5_x000d__x000a_WHERE_x000d__x000a__x0009_D_E_L_E_T_ = ''_x000d__x000a__x0009_AND B5_CODCERT &lt;&gt; ''_x000d__x000a_ORDER BY_x000d__x000a__x0009_B5_CODCERT"/>
  </connection>
  <connection id="6" name="Sld. Final" type="1" refreshedVersion="5" savePassword="1" background="1" saveData="1">
    <dbPr connection="DSN=agrocete;Description=agrocete;UID=vamilly;PWD=vam@2014;APP=Microsoft Office 2013;WSID=DJONATA-VAIO;DATABASE=P11Producao" command="SELECT_x000d__x000a__x0009_B5_CODCERT AS REGISTRO,_x000d__x000a__x0009_B5_COD AS PRODUTO,_x000d__x000a__x0009_B1_DESC AS 'DESCRIÇÃO',_x000d__x000a__x0009_B9_QINI AS SLDFIM_x000d__x000a_FROM_x000d__x000a__x0009_SB1010 SB1,_x000d__x000a__x0009_SB5010 SB5,_x000d__x000a__x0009_SB9010 SB9_x000d__x000a_WHERE_x000d__x000a__x0009_B1_TIPO = 'PA'_x000d__x000a__x0009_AND SB1.D_E_L_E_T_ = ''_x000d__x000a__x0009_AND SB5.D_E_L_E_T_ = ''_x000d__x000a__x0009_AND SB9.D_E_L_E_T_ = ''_x000d__x000a__x0009_AND B9_COD = B1_COD _x000d__x000a__x0009_AND B1_COD = B5_COD_x000d__x000a__x0009_AND B9_DATA = ?"/>
    <parameters count="1">
      <parameter name="Parâmetro1" parameterType="cell" cell="Parâmetros!$E$3"/>
    </parameters>
  </connection>
  <connection id="7" name="Sld. Inicial" type="1" refreshedVersion="5" savePassword="1" background="1" saveData="1">
    <dbPr connection="DSN=agrocete;Description=agrocete;UID=vamilly;PWD=vam@2014;APP=Microsoft Office 2013;WSID=DJONATA-VAIO;DATABASE=P11Producao" command="SELECT_x000d__x000a__x0009_B5_CODCERT AS REGISTRO,_x000d__x000a__x0009_B5_COD AS PRODUTO,_x000d__x000a__x0009_B1_DESC AS 'DESCRIÇÃO',_x000d__x000a__x0009_B9_QINI AS SLDINI_x000d__x000a_FROM_x000d__x000a__x0009_SB1010 SB1,_x000d__x000a__x0009_SB5010 SB5,_x000d__x000a__x0009_SB9010 SB9_x000d__x000a_WHERE_x000d__x000a__x0009_B1_TIPO = 'PA'_x000d__x000a__x0009_AND SB1.D_E_L_E_T_ = ''_x000d__x000a__x0009_AND SB5.D_E_L_E_T_ = ''_x000d__x000a__x0009_AND SB9.D_E_L_E_T_ = ''_x000d__x000a__x0009_AND B9_COD = B1_COD _x000d__x000a__x0009_AND B1_COD = B5_COD_x000d__x000a__x0009_AND B9_DATA = ?"/>
    <parameters count="1">
      <parameter name="Parâmetro1" parameterType="cell" cell="Parâmetros!$E$2"/>
    </parameters>
  </connection>
  <connection id="8" name="Vendas EX" type="1" refreshedVersion="5" savePassword="1" background="1" saveData="1">
    <dbPr connection="DSN=agrocete;Description=agrocete;UID=vamilly;PWD=vam@2014;APP=Microsoft Office 2013;WSID=DJONATA-VAIO;DATABASE=P11Producao" command="SELECT_x000d__x000a__x0009_'N' AS TIPO,_x000d__x000a__x0009_B5_CODCERT AS REGISTRO,_x000d__x000a__x0009_B5_COD AS PRODUTO,_x000d__x000a__x0009_B1_DESC AS 'DESCRIÇÃO',_x000d__x000a__x0009_D2_QUANT AS VENDAS,_x000d__x000a__x0009_D2_DOC AS DOC,_x000d__x000a__x0009_D2_EMISSAO AS 'EMISSÃO',_x000d__x000a__x0009_D2_EST AS UF,_x000d__x000a__x0009_A1_PAISORI AS 'PAÍS'_x000d__x000a_FROM_x000d__x000a__x0009_SB1010 SB1,_x000d__x000a__x0009_SB5010 SB5,_x000d__x000a__x0009_SD2010 SD2,_x000d__x000a__x0009_SF4010 SF4,_x000d__x000a__x0009_SA1010 SA1_x000d__x000a_WHERE_x000d__x000a__x0009_B1_TIPO = 'PA'_x000d__x000a__x0009_AND SB1.D_E_L_E_T_ = ''_x000d__x000a__x0009_AND SB5.D_E_L_E_T_ = ''_x000d__x000a__x0009_AND SD2.D_E_L_E_T_ = ''_x000d__x000a__x0009_AND D2_COD = B1_COD _x000d__x000a__x0009_AND B1_COD = B5_COD_x000d__x000a__x0009_AND D2_EMISSAO &gt; ?_x000d__x000a__x0009_AND D2_EMISSAO &lt;= ?_x000d__x000a__x0009_AND SF4.D_E_L_E_T_ = ''_x000d__x000a__x0009_AND F4_CODIGO = D2_TES_x000d__x000a__x0009_--AND F4_DUPLIC = 'S'_x000d__x000a__x0009_AND F4_ESTOQUE = 'S'_x000d__x000a__x0009_AND D2_TIPO = 'N'_x000d__x000a__x0009_AND D2_EST = 'EX'_x000d__x000a__x0009_AND SA1.D_E_L_E_T_ = ''_x000d__x000a__x0009_AND A1_COD+A1_LOJA = D2_CLIENTE+D2_LOJA"/>
    <parameters count="2">
      <parameter name="Parâmetro1" parameterType="cell" cell="Parâmetros!$E$2"/>
      <parameter name="Parâmetro2" parameterType="cell" cell="Parâmetros!$E$3"/>
    </parameters>
  </connection>
  <connection id="9" name="Vendas Outras UFs" type="1" refreshedVersion="5" savePassword="1" background="1" saveData="1">
    <dbPr connection="DSN=agrocete;Description=agrocete;UID=vamilly;PWD=vam@2014;APP=Microsoft Office 2013;WSID=DJONATA-VAIO;DATABASE=P11Producao" command="SELECT_x000d__x000a__x0009_'N' AS TIPO,_x000d__x000a__x0009_B5_CODCERT AS REGISTRO,_x000d__x000a__x0009_B5_COD AS PRODUTO,_x000d__x000a__x0009_B1_DESC AS 'DESCRIÇÃO',_x000d__x000a__x0009_D2_QUANT AS VENDAS,_x000d__x000a__x0009_D2_DOC AS DOC,_x000d__x000a__x0009_D2_EMISSAO AS 'EMISSÃO',_x000d__x000a__x0009_D2_EST AS UF,_x000d__x000a__x0009_A1_PAISORI AS 'PAÍS'_x000d__x000a_FROM_x000d__x000a__x0009_SB1010 SB1,_x000d__x000a__x0009_SB5010 SB5,_x000d__x000a__x0009_SD2010 SD2,_x000d__x000a__x0009_SF4010 SF4,_x000d__x000a__x0009_SA1010 SA1_x000d__x000a_WHERE_x000d__x000a__x0009_B1_TIPO = 'PA'_x000d__x000a__x0009_AND SB1.D_E_L_E_T_ = ''_x000d__x000a__x0009_AND SB5.D_E_L_E_T_ = ''_x000d__x000a__x0009_AND SD2.D_E_L_E_T_ = ''_x000d__x000a__x0009_AND D2_COD = B1_COD _x000d__x000a__x0009_AND B1_COD = B5_COD_x000d__x000a__x0009_AND D2_EMISSAO &gt; ?_x000d__x000a__x0009_AND D2_EMISSAO &lt;= ?_x000d__x000a__x0009_AND SF4.D_E_L_E_T_ = ''_x000d__x000a__x0009_AND F4_CODIGO = D2_TES_x000d__x000a__x0009_--AND F4_DUPLIC = 'S'_x000d__x000a__x0009_AND F4_ESTOQUE = 'S'_x000d__x000a__x0009_AND D2_TIPO = 'N'_x000d__x000a__x0009_AND D2_EST NOT IN ('PR', 'EX')_x000d__x000a__x0009_AND SA1.D_E_L_E_T_ = ''_x000d__x000a__x0009_AND A1_COD+A1_LOJA = D2_CLIENTE+D2_LOJA"/>
    <parameters count="2">
      <parameter name="Parâmetro1" parameterType="cell" cell="Parâmetros!$E$2"/>
      <parameter name="Parâmetro2" parameterType="cell" cell="Parâmetros!$E$3"/>
    </parameters>
  </connection>
  <connection id="10" name="Vendas PR" type="1" refreshedVersion="5" savePassword="1" background="1" saveData="1">
    <dbPr connection="DSN=agrocete;Description=agrocete;UID=vamilly;PWD=vam@2014;APP=Microsoft Office 2013;WSID=DJONATA-VAIO;DATABASE=P11Producao" command="SELECT_x000d__x000a__x0009_'N' AS TIPO,_x000d__x000a__x0009_B5_CODCERT AS REGISTRO,_x000d__x000a__x0009_B5_COD AS PRODUTO,_x000d__x000a__x0009_B1_DESC AS 'DESCRIÇÃO',_x000d__x000a__x0009_D2_QUANT AS VENDAS,_x000d__x000a__x0009_D2_DOC AS DOC,_x000d__x000a__x0009_D2_EMISSAO AS 'EMISSÃO',_x000d__x000a__x0009_D2_EST AS UF_x000d__x000a_FROM_x000d__x000a__x0009_SB1010 SB1,_x000d__x000a__x0009_SB5010 SB5,_x000d__x000a__x0009_SD2010 SD2,_x000d__x000a__x0009_SF4010 SF4_x000d__x000a_WHERE_x000d__x000a__x0009_B1_TIPO = 'PA'_x000d__x000a__x0009_AND SB1.D_E_L_E_T_ = ''_x000d__x000a__x0009_AND SB5.D_E_L_E_T_ = ''_x000d__x000a__x0009_AND SD2.D_E_L_E_T_ = ''_x000d__x000a__x0009_AND D2_COD = B1_COD _x000d__x000a__x0009_AND B1_COD = B5_COD_x000d__x000a__x0009_AND D2_EMISSAO &gt; ?_x000d__x000a__x0009_AND D2_EMISSAO &lt;= ?_x000d__x000a__x0009_AND SF4.D_E_L_E_T_ = ''_x000d__x000a__x0009_AND F4_CODIGO = D2_TES_x000d__x000a__x0009_--AND F4_DUPLIC = 'S'_x000d__x000a__x0009_AND F4_ESTOQUE = 'S'_x000d__x000a__x0009_AND D2_TIPO = 'N'_x000d__x000a__x0009_AND D2_EST = 'PR'"/>
    <parameters count="2">
      <parameter name="Parâmetro1" parameterType="cell" cell="Parâmetros!$E$2"/>
      <parameter name="Parâmetro2" parameterType="cell" cell="Parâmetros!$E$3"/>
    </parameters>
  </connection>
</connections>
</file>

<file path=xl/sharedStrings.xml><?xml version="1.0" encoding="utf-8"?>
<sst xmlns="http://schemas.openxmlformats.org/spreadsheetml/2006/main" count="20817" uniqueCount="2560">
  <si>
    <t>Data De</t>
  </si>
  <si>
    <t>Data Até</t>
  </si>
  <si>
    <t>31/03/2014</t>
  </si>
  <si>
    <t>31/12/2013</t>
  </si>
  <si>
    <t>REGISTRO</t>
  </si>
  <si>
    <t>PRODUTO</t>
  </si>
  <si>
    <t>DESCRIÇÃO</t>
  </si>
  <si>
    <t>SLDINI</t>
  </si>
  <si>
    <t>PR-05046 10059-9</t>
  </si>
  <si>
    <t xml:space="preserve">NITGR0050      </t>
  </si>
  <si>
    <t xml:space="preserve">GRAP NITRO 50X1               </t>
  </si>
  <si>
    <t>PR-05046 10066-1</t>
  </si>
  <si>
    <t xml:space="preserve">30KNI0005      </t>
  </si>
  <si>
    <t xml:space="preserve">KFIX 4X5                      </t>
  </si>
  <si>
    <t xml:space="preserve">PR-05046 10080-7 </t>
  </si>
  <si>
    <t xml:space="preserve">TOPNI0001      </t>
  </si>
  <si>
    <t xml:space="preserve">TOPFIX 12X1                   </t>
  </si>
  <si>
    <t>4004</t>
  </si>
  <si>
    <t xml:space="preserve">OILCI0050      </t>
  </si>
  <si>
    <t xml:space="preserve">GRAP OIL CIABAY 50X1          </t>
  </si>
  <si>
    <t>PR-05046 10063-7</t>
  </si>
  <si>
    <t xml:space="preserve">PHIGR0050      </t>
  </si>
  <si>
    <t xml:space="preserve">GRAP PHIL FOSFITO 50X1        </t>
  </si>
  <si>
    <t xml:space="preserve">PHINI0005      </t>
  </si>
  <si>
    <t xml:space="preserve">FOSPOFIX FOSFITO 4X5          </t>
  </si>
  <si>
    <t>PR-05046 10158-7</t>
  </si>
  <si>
    <t xml:space="preserve">SGUGR0500      </t>
  </si>
  <si>
    <t xml:space="preserve">GRAP SUPER GUN 12X0,5         </t>
  </si>
  <si>
    <t>PR-05046 10115-3</t>
  </si>
  <si>
    <t xml:space="preserve">F42GR0050      </t>
  </si>
  <si>
    <t xml:space="preserve">GRAP FOSFORICO 75 KG          </t>
  </si>
  <si>
    <t>PR-05046 10061-1</t>
  </si>
  <si>
    <t xml:space="preserve">SGUUS0001      </t>
  </si>
  <si>
    <t xml:space="preserve">CITRIX 12X1                   </t>
  </si>
  <si>
    <t>PR-05046 10057-2</t>
  </si>
  <si>
    <t xml:space="preserve">SSRUS0001      </t>
  </si>
  <si>
    <t xml:space="preserve">GRAP SUPER GUN SR USA 12X1    </t>
  </si>
  <si>
    <t>PR-05046 10121-8</t>
  </si>
  <si>
    <t xml:space="preserve">MGCUS0001      </t>
  </si>
  <si>
    <t xml:space="preserve">GRAP MG 2,5 USA 12X1          </t>
  </si>
  <si>
    <t>PR-05046 10169-2</t>
  </si>
  <si>
    <t xml:space="preserve">SSRGR0001      </t>
  </si>
  <si>
    <t xml:space="preserve">GRAP SUPER GUN SR 12X1        </t>
  </si>
  <si>
    <t xml:space="preserve">TOPFF0005      </t>
  </si>
  <si>
    <t xml:space="preserve">FF ULTRA 4X5                  </t>
  </si>
  <si>
    <t xml:space="preserve">TOPFF0020      </t>
  </si>
  <si>
    <t xml:space="preserve">FF ULTRA 20X1                 </t>
  </si>
  <si>
    <t xml:space="preserve">TOPPR0005      </t>
  </si>
  <si>
    <t xml:space="preserve">NUTRICROP COMPLE MAX 4X5      </t>
  </si>
  <si>
    <t xml:space="preserve">PR-05046 10159-5 </t>
  </si>
  <si>
    <t xml:space="preserve">TPLSF0005      </t>
  </si>
  <si>
    <t xml:space="preserve">TENSOR PLUS 4X5               </t>
  </si>
  <si>
    <t xml:space="preserve">PR-05046 10032-7 </t>
  </si>
  <si>
    <t xml:space="preserve">BORNI1000      </t>
  </si>
  <si>
    <t xml:space="preserve">BOROFIX 1000X1                </t>
  </si>
  <si>
    <t>PR-05046 10010-6</t>
  </si>
  <si>
    <t xml:space="preserve">MNGGR0005      </t>
  </si>
  <si>
    <t xml:space="preserve">GRAP MONT NG 4X5              </t>
  </si>
  <si>
    <t>PR-05046 10033-5</t>
  </si>
  <si>
    <t xml:space="preserve">101PR0001      </t>
  </si>
  <si>
    <t xml:space="preserve">NUTRICROP CAB-MAX 12X1        </t>
  </si>
  <si>
    <t>PR-05046 10005-0</t>
  </si>
  <si>
    <t xml:space="preserve">104FF0001      </t>
  </si>
  <si>
    <t xml:space="preserve">FF Z 10 12X1                  </t>
  </si>
  <si>
    <t>PR-05046 10055-6</t>
  </si>
  <si>
    <t xml:space="preserve">110NI0050      </t>
  </si>
  <si>
    <t xml:space="preserve">COMOFIX 10/1 50X1             </t>
  </si>
  <si>
    <t>PR-05046 10053-0</t>
  </si>
  <si>
    <t xml:space="preserve">141BU0005      </t>
  </si>
  <si>
    <t xml:space="preserve">TOP GREEN 14/11 4X5           </t>
  </si>
  <si>
    <t>PR-05046 10052-1</t>
  </si>
  <si>
    <t xml:space="preserve">15MRZ0001      </t>
  </si>
  <si>
    <t xml:space="preserve">RIZO MOLIBDENIO 12X1          </t>
  </si>
  <si>
    <t>PR-05046 10051-3</t>
  </si>
  <si>
    <t xml:space="preserve">165NI0001      </t>
  </si>
  <si>
    <t xml:space="preserve">COMOFIX 15/1,5 12X1           </t>
  </si>
  <si>
    <t xml:space="preserve">165PR0050      </t>
  </si>
  <si>
    <t xml:space="preserve">NUTRICROP COMO MAX 50X1       </t>
  </si>
  <si>
    <t xml:space="preserve">30KCI0005      </t>
  </si>
  <si>
    <t xml:space="preserve">GRAP 30K CIABAY 4X5           </t>
  </si>
  <si>
    <t>PR-05046 10054-8</t>
  </si>
  <si>
    <t xml:space="preserve">71RGR0050      </t>
  </si>
  <si>
    <t xml:space="preserve">GRAP COMO RAIZ 50X1           </t>
  </si>
  <si>
    <t>PR-05046 10073-4</t>
  </si>
  <si>
    <t xml:space="preserve">AMXNI0050      </t>
  </si>
  <si>
    <t xml:space="preserve">MACROFIX 50X1                 </t>
  </si>
  <si>
    <t>PR-05046 10065-3</t>
  </si>
  <si>
    <t xml:space="preserve">ANKGR0005      </t>
  </si>
  <si>
    <t xml:space="preserve">GRAP AMYNO NK 4X5             </t>
  </si>
  <si>
    <t xml:space="preserve">ANKGR0050      </t>
  </si>
  <si>
    <t xml:space="preserve">GRAP AMYNO NK 50X1            </t>
  </si>
  <si>
    <t>PR-05046 10030-1</t>
  </si>
  <si>
    <t xml:space="preserve">M27GR0005      </t>
  </si>
  <si>
    <t xml:space="preserve">GRAP MONT 27 4X5              </t>
  </si>
  <si>
    <t xml:space="preserve">MNGBU0001      </t>
  </si>
  <si>
    <t xml:space="preserve">TOP GREEN MIX 12X1            </t>
  </si>
  <si>
    <t xml:space="preserve">MNGBU0005      </t>
  </si>
  <si>
    <t xml:space="preserve">TOP GREEN MIX 4X5             </t>
  </si>
  <si>
    <t xml:space="preserve">MNGBU0050      </t>
  </si>
  <si>
    <t xml:space="preserve">TOP GREEN MIX 50X1            </t>
  </si>
  <si>
    <t xml:space="preserve">NITBU0005      </t>
  </si>
  <si>
    <t xml:space="preserve">TOP GREEN N 4X5               </t>
  </si>
  <si>
    <t xml:space="preserve">SSRGR0020      </t>
  </si>
  <si>
    <t xml:space="preserve">GRAP SUPER GUN SR 20X1        </t>
  </si>
  <si>
    <t xml:space="preserve">TOPCI0050      </t>
  </si>
  <si>
    <t xml:space="preserve">GRAP TOP FLUID CIABAY 50X1    </t>
  </si>
  <si>
    <t>PR-05046 10133-1</t>
  </si>
  <si>
    <t xml:space="preserve">CAFGR0020      </t>
  </si>
  <si>
    <t xml:space="preserve">GRAP CAFE 20X1                </t>
  </si>
  <si>
    <t>PR-05046 10134-0</t>
  </si>
  <si>
    <t xml:space="preserve">FRUGR0005      </t>
  </si>
  <si>
    <t xml:space="preserve">GRAP FRUTAS 4X5               </t>
  </si>
  <si>
    <t xml:space="preserve">TOPNI1000      </t>
  </si>
  <si>
    <t xml:space="preserve">TOPFIX 1000X1                 </t>
  </si>
  <si>
    <t>PR-05046 10170-6</t>
  </si>
  <si>
    <t xml:space="preserve">ISLGR1215      </t>
  </si>
  <si>
    <t>INOC. GRAP NOD L 120 DS (1,5L)</t>
  </si>
  <si>
    <t>PR-05046 10044-1</t>
  </si>
  <si>
    <t xml:space="preserve">147GR0020      </t>
  </si>
  <si>
    <t xml:space="preserve">GRAP 147 FLUID 20X1           </t>
  </si>
  <si>
    <t>PR-05046 10152-8</t>
  </si>
  <si>
    <t xml:space="preserve">TPPPR0005      </t>
  </si>
  <si>
    <t xml:space="preserve">NUTRICROP COMPPLE MAX 4X5     </t>
  </si>
  <si>
    <t xml:space="preserve">TPPCI0020      </t>
  </si>
  <si>
    <t>GRAP TOP FLUID PLUS CIABAY20X1</t>
  </si>
  <si>
    <t>PR-08378 10056-0</t>
  </si>
  <si>
    <t xml:space="preserve">ISLNI0080      </t>
  </si>
  <si>
    <t xml:space="preserve">INOC. GELFIX 80 DS            </t>
  </si>
  <si>
    <t>PR-08378 10070-5</t>
  </si>
  <si>
    <t xml:space="preserve">ISTGR0240      </t>
  </si>
  <si>
    <t xml:space="preserve">INOC. GRAP NOD + 240 DS       </t>
  </si>
  <si>
    <t>PR-05046 10112-9</t>
  </si>
  <si>
    <t xml:space="preserve">065GR1000      </t>
  </si>
  <si>
    <t xml:space="preserve">GRAP COBRE 1000X1             </t>
  </si>
  <si>
    <t>PR-05046 10156-1</t>
  </si>
  <si>
    <t xml:space="preserve">PMNGR0001      </t>
  </si>
  <si>
    <t xml:space="preserve">GRAP PHIL MN 12X1             </t>
  </si>
  <si>
    <t>PR-93923 10041-5</t>
  </si>
  <si>
    <t xml:space="preserve">IFTAZ0120      </t>
  </si>
  <si>
    <t>INOC. TOTALNITRO FEIJAO 120 DS</t>
  </si>
  <si>
    <t>PR-05046 10074-2</t>
  </si>
  <si>
    <t xml:space="preserve">097GR0005      </t>
  </si>
  <si>
    <t xml:space="preserve">GRAP COMO 11 4X5              </t>
  </si>
  <si>
    <t xml:space="preserve">OILBA0020      </t>
  </si>
  <si>
    <t xml:space="preserve">OPTIMIZER 20X1                </t>
  </si>
  <si>
    <t>PR-05046 10006-8</t>
  </si>
  <si>
    <t xml:space="preserve">102GR0020      </t>
  </si>
  <si>
    <t xml:space="preserve">GRAP 102 CAB 20X1             </t>
  </si>
  <si>
    <t>PR-05046 10154-4</t>
  </si>
  <si>
    <t xml:space="preserve">07RAP0020      </t>
  </si>
  <si>
    <t>GRAP MN RR PLUS AGROPART. 20X1</t>
  </si>
  <si>
    <t>PR-05046 10062-9</t>
  </si>
  <si>
    <t xml:space="preserve">DYNSF0020      </t>
  </si>
  <si>
    <t xml:space="preserve">DYN PLUS 20X1                 </t>
  </si>
  <si>
    <t xml:space="preserve">TPPBE0005      </t>
  </si>
  <si>
    <t xml:space="preserve">TOPFIX PLUS BECKER 4X5        </t>
  </si>
  <si>
    <t xml:space="preserve">PR-05046 10165-0 </t>
  </si>
  <si>
    <t xml:space="preserve">SPAAG1000      </t>
  </si>
  <si>
    <t xml:space="preserve">GRAP ENXOFRE 99 1000 KG       </t>
  </si>
  <si>
    <t xml:space="preserve">104GR0005      </t>
  </si>
  <si>
    <t xml:space="preserve">GRAP 104 FLUID 4X5            </t>
  </si>
  <si>
    <t>PR-05046 10171-4</t>
  </si>
  <si>
    <t xml:space="preserve">M16GR0001      </t>
  </si>
  <si>
    <t xml:space="preserve">GRAP MONT 16 12X1             </t>
  </si>
  <si>
    <t/>
  </si>
  <si>
    <t xml:space="preserve">LDOGA0002      </t>
  </si>
  <si>
    <t xml:space="preserve">GRAP LASCAS DOURADO 2KG       </t>
  </si>
  <si>
    <t xml:space="preserve">LDOGA0010      </t>
  </si>
  <si>
    <t xml:space="preserve">GRAP LASCAS DOURADO 10KG      </t>
  </si>
  <si>
    <t xml:space="preserve">LVCGA0010      </t>
  </si>
  <si>
    <t xml:space="preserve">GRAP LASCAS VERM. CLARO 10KG  </t>
  </si>
  <si>
    <t xml:space="preserve">NITGR0001      </t>
  </si>
  <si>
    <t xml:space="preserve">GRAP NITRO 12X1               </t>
  </si>
  <si>
    <t xml:space="preserve">PHIGR0001      </t>
  </si>
  <si>
    <t xml:space="preserve">GRAP PHIL FOSFITO 12X1        </t>
  </si>
  <si>
    <t>PR-05046 10157-9</t>
  </si>
  <si>
    <t xml:space="preserve">PH4GR0050      </t>
  </si>
  <si>
    <t xml:space="preserve">GRAP PHIL 40/20 50X1          </t>
  </si>
  <si>
    <t xml:space="preserve">PH4GR0020      </t>
  </si>
  <si>
    <t xml:space="preserve">GRAP PHIL 40/20 20X1          </t>
  </si>
  <si>
    <t xml:space="preserve">TPPPR0020      </t>
  </si>
  <si>
    <t xml:space="preserve">NUTRICROP COMPPLE MAX 20X1    </t>
  </si>
  <si>
    <t xml:space="preserve">BLSGR0060      </t>
  </si>
  <si>
    <t xml:space="preserve">BOLSA INOC. SOJA COM 6,0 L    </t>
  </si>
  <si>
    <t xml:space="preserve">71RGR0020      </t>
  </si>
  <si>
    <t xml:space="preserve">GRAP COMO RAIZ 20X1           </t>
  </si>
  <si>
    <t>PR-05046 10027-1</t>
  </si>
  <si>
    <t xml:space="preserve">M16CI0005      </t>
  </si>
  <si>
    <t xml:space="preserve">GRAP ARROZ CIABAY 4X5         </t>
  </si>
  <si>
    <t xml:space="preserve">BORAB0001      </t>
  </si>
  <si>
    <t xml:space="preserve">GRAP BORIC A. BOLIVIA 12X1    </t>
  </si>
  <si>
    <t xml:space="preserve">30KAB0001      </t>
  </si>
  <si>
    <t xml:space="preserve">GRAP 30K A. BOLIVIA 12X1      </t>
  </si>
  <si>
    <t xml:space="preserve">M16AB0001      </t>
  </si>
  <si>
    <t xml:space="preserve">GRAP GRAM A. BOLIVIA 12X1     </t>
  </si>
  <si>
    <t>PR-05046 10042-4</t>
  </si>
  <si>
    <t xml:space="preserve">140GR0050      </t>
  </si>
  <si>
    <t xml:space="preserve">GRAP 140 FLUID 50X1           </t>
  </si>
  <si>
    <t>PR-05046 10071-8</t>
  </si>
  <si>
    <t xml:space="preserve">143RZ0020      </t>
  </si>
  <si>
    <t xml:space="preserve">RIZO MICRO 13/1,3 - 20X1      </t>
  </si>
  <si>
    <t xml:space="preserve">147FF0005      </t>
  </si>
  <si>
    <t xml:space="preserve">FF CAB-14 4X5                 </t>
  </si>
  <si>
    <t>PR-05046 10075-1</t>
  </si>
  <si>
    <t xml:space="preserve">M15NI0005      </t>
  </si>
  <si>
    <t xml:space="preserve">COMPLEFIX S 4X5               </t>
  </si>
  <si>
    <t>PR-05046 10081-5</t>
  </si>
  <si>
    <t xml:space="preserve">M23GR0005      </t>
  </si>
  <si>
    <t xml:space="preserve">GRAP MONT 23 4X5              </t>
  </si>
  <si>
    <t>PR-05046 10064-5</t>
  </si>
  <si>
    <t xml:space="preserve">MAGGR0020      </t>
  </si>
  <si>
    <t xml:space="preserve">GRAP MAGNESIO 20X1            </t>
  </si>
  <si>
    <t xml:space="preserve">MNGGR0020      </t>
  </si>
  <si>
    <t xml:space="preserve">GRAP MONT NG 20X1             </t>
  </si>
  <si>
    <t>PR-05046 10049-1</t>
  </si>
  <si>
    <t xml:space="preserve">048GR0040      </t>
  </si>
  <si>
    <t xml:space="preserve">GRAP RF 48                    </t>
  </si>
  <si>
    <t>PR-05046 10076-9</t>
  </si>
  <si>
    <t xml:space="preserve">100GR0001      </t>
  </si>
  <si>
    <t xml:space="preserve">GRAP 100 FLUID 12X1           </t>
  </si>
  <si>
    <t xml:space="preserve">101FF0020      </t>
  </si>
  <si>
    <t xml:space="preserve">FF CAB 10 20X1                </t>
  </si>
  <si>
    <t xml:space="preserve">PR-05046 10033-5 </t>
  </si>
  <si>
    <t xml:space="preserve">101GR0020      </t>
  </si>
  <si>
    <t xml:space="preserve">GRAP 101 CAB 20X1             </t>
  </si>
  <si>
    <t xml:space="preserve">102GR0005      </t>
  </si>
  <si>
    <t xml:space="preserve">GRAP 102 CAB 4X5              </t>
  </si>
  <si>
    <t xml:space="preserve">102NI0020      </t>
  </si>
  <si>
    <t xml:space="preserve">CABFIX 2 20X1                 </t>
  </si>
  <si>
    <t xml:space="preserve">102NI0050      </t>
  </si>
  <si>
    <t xml:space="preserve">CABFIX 2 50X1                 </t>
  </si>
  <si>
    <t xml:space="preserve">104GR0020      </t>
  </si>
  <si>
    <t xml:space="preserve">GRAP 104 FLUID 20X1           </t>
  </si>
  <si>
    <t xml:space="preserve">104GR0050      </t>
  </si>
  <si>
    <t xml:space="preserve">GRAP 104 FLUID 50X1           </t>
  </si>
  <si>
    <t xml:space="preserve">165GR0001      </t>
  </si>
  <si>
    <t xml:space="preserve">GRAP 165 JE 12X1              </t>
  </si>
  <si>
    <t>PR-05046 10069-6</t>
  </si>
  <si>
    <t xml:space="preserve">180GR0005      </t>
  </si>
  <si>
    <t xml:space="preserve">GRAP 180 JE 4X5               </t>
  </si>
  <si>
    <t xml:space="preserve">71RGR0005      </t>
  </si>
  <si>
    <t xml:space="preserve">GRAP COMO RAIZ 4X5            </t>
  </si>
  <si>
    <t xml:space="preserve">AMXGR0005      </t>
  </si>
  <si>
    <t xml:space="preserve">GRAP AMYNO MIX 4X5            </t>
  </si>
  <si>
    <t xml:space="preserve">BORNI0005      </t>
  </si>
  <si>
    <t xml:space="preserve">BOROFIX 4X5                   </t>
  </si>
  <si>
    <t xml:space="preserve">BORNI0020      </t>
  </si>
  <si>
    <t xml:space="preserve">BOROFIX 20X1                  </t>
  </si>
  <si>
    <t xml:space="preserve">BORNI0050      </t>
  </si>
  <si>
    <t xml:space="preserve">BOROFIX 50X1                  </t>
  </si>
  <si>
    <t>PR-08378 10003-9</t>
  </si>
  <si>
    <t xml:space="preserve">ISTNI0240      </t>
  </si>
  <si>
    <t xml:space="preserve">INOC. ADHERE 240 DS           </t>
  </si>
  <si>
    <t xml:space="preserve">ISTNI0300      </t>
  </si>
  <si>
    <t xml:space="preserve">INOC. ADHERE 300 DS           </t>
  </si>
  <si>
    <t xml:space="preserve">OILGR0020      </t>
  </si>
  <si>
    <t xml:space="preserve">GRAP OIL 20X1                 </t>
  </si>
  <si>
    <t xml:space="preserve">PHIPR0005      </t>
  </si>
  <si>
    <t xml:space="preserve">NUTRICROP FOSFI MAX 4X5       </t>
  </si>
  <si>
    <t xml:space="preserve">PHIPR0020      </t>
  </si>
  <si>
    <t xml:space="preserve">NUTRICROP FOSFI MAX 20X1      </t>
  </si>
  <si>
    <t>PR-05046 10159-5</t>
  </si>
  <si>
    <t xml:space="preserve">TCOSF0020      </t>
  </si>
  <si>
    <t>TENSOR PLUS COTRIBA NUTRI 20X1</t>
  </si>
  <si>
    <t xml:space="preserve">TNTSF0001      </t>
  </si>
  <si>
    <t xml:space="preserve">TENSOR PLUS NUTRI TOP 12X1    </t>
  </si>
  <si>
    <t>PR-05046 10162-5</t>
  </si>
  <si>
    <t xml:space="preserve">J15GR0050      </t>
  </si>
  <si>
    <t xml:space="preserve">GRAP J15 50X1                 </t>
  </si>
  <si>
    <t>PR-05046 10088-2</t>
  </si>
  <si>
    <t xml:space="preserve">ACBAG0025      </t>
  </si>
  <si>
    <t xml:space="preserve">ACIDO BORICO 25 KG            </t>
  </si>
  <si>
    <t>PR-05046 10144-7</t>
  </si>
  <si>
    <t xml:space="preserve">SENGR0001      </t>
  </si>
  <si>
    <t xml:space="preserve">GRAP SENSOR 12X1              </t>
  </si>
  <si>
    <t>PR-05046 10104-8</t>
  </si>
  <si>
    <t xml:space="preserve">JARGA0002      </t>
  </si>
  <si>
    <t xml:space="preserve">GRAP GARDEN JARDINS 2KG       </t>
  </si>
  <si>
    <t xml:space="preserve">M27RZ0020      </t>
  </si>
  <si>
    <t xml:space="preserve">RIZO COMPLEX II 20X1          </t>
  </si>
  <si>
    <t xml:space="preserve">MNGRZ0050      </t>
  </si>
  <si>
    <t xml:space="preserve">RIZO COMPLEX 50X1             </t>
  </si>
  <si>
    <t xml:space="preserve">NITCI0001      </t>
  </si>
  <si>
    <t xml:space="preserve">GRAP NITRO CIABAY 12X1        </t>
  </si>
  <si>
    <t xml:space="preserve">NITPR0001      </t>
  </si>
  <si>
    <t xml:space="preserve">NUTRICROP NITRO MAX 12X1      </t>
  </si>
  <si>
    <t xml:space="preserve">SGUGR0050      </t>
  </si>
  <si>
    <t xml:space="preserve">GRAP SUPER GUN 50X1           </t>
  </si>
  <si>
    <t xml:space="preserve">TMASF0005      </t>
  </si>
  <si>
    <t xml:space="preserve">TENSOR MAX 4X5                </t>
  </si>
  <si>
    <t xml:space="preserve">TMASF0050      </t>
  </si>
  <si>
    <t xml:space="preserve">TENSOR MAX 50X1               </t>
  </si>
  <si>
    <t xml:space="preserve">TOPBU0001      </t>
  </si>
  <si>
    <t xml:space="preserve">TOP GREEN FLUID 12X1          </t>
  </si>
  <si>
    <t xml:space="preserve">BORBE0020      </t>
  </si>
  <si>
    <t xml:space="preserve">BOROFIX BECKER 20X1           </t>
  </si>
  <si>
    <t xml:space="preserve">30KNI0001      </t>
  </si>
  <si>
    <t xml:space="preserve">KFIX 12X1                     </t>
  </si>
  <si>
    <t xml:space="preserve">M16PR0005      </t>
  </si>
  <si>
    <t xml:space="preserve">NUTRICROP MILHO MAX 4X5       </t>
  </si>
  <si>
    <t xml:space="preserve">NITNI0050      </t>
  </si>
  <si>
    <t xml:space="preserve">NFIX 50X1                     </t>
  </si>
  <si>
    <t xml:space="preserve">NITPR0020      </t>
  </si>
  <si>
    <t xml:space="preserve">NUTRICROP NITRO MAX 20X1      </t>
  </si>
  <si>
    <t xml:space="preserve">OILCI0020      </t>
  </si>
  <si>
    <t xml:space="preserve">GRAP OIL CIABAY 20X1          </t>
  </si>
  <si>
    <t>PR-05046 10098-0</t>
  </si>
  <si>
    <t xml:space="preserve">ORGGA0002      </t>
  </si>
  <si>
    <t xml:space="preserve">GRAP GARDEN ORGANICO 2KG      </t>
  </si>
  <si>
    <t xml:space="preserve">ORGGR0040      </t>
  </si>
  <si>
    <t xml:space="preserve">GRAP GARDEN ORGANICO          </t>
  </si>
  <si>
    <t xml:space="preserve">30KNI0050      </t>
  </si>
  <si>
    <t xml:space="preserve">KFIX 50X1                     </t>
  </si>
  <si>
    <t>PR-05046 10126-9</t>
  </si>
  <si>
    <t xml:space="preserve">SFHAG0025      </t>
  </si>
  <si>
    <t xml:space="preserve">SULFATO DE FERRO HEPTA  25 KG </t>
  </si>
  <si>
    <t xml:space="preserve">TOPBE0005      </t>
  </si>
  <si>
    <t xml:space="preserve">TOPFIX BECKER 4X5             </t>
  </si>
  <si>
    <t xml:space="preserve">TOPGA0001      </t>
  </si>
  <si>
    <t xml:space="preserve">GRAP GARDEN SUPER 12X1        </t>
  </si>
  <si>
    <t xml:space="preserve">TOPGR0020      </t>
  </si>
  <si>
    <t xml:space="preserve">GRAP TOP FLUID 20X1           </t>
  </si>
  <si>
    <t xml:space="preserve">TPLSF0020      </t>
  </si>
  <si>
    <t xml:space="preserve">TENSOR PLUS 20X1              </t>
  </si>
  <si>
    <t xml:space="preserve">165NI0020      </t>
  </si>
  <si>
    <t xml:space="preserve">COMOFIX 15/1,5 20X1           </t>
  </si>
  <si>
    <t xml:space="preserve">M27NI0020      </t>
  </si>
  <si>
    <t xml:space="preserve">COMPLEFIX 20X1                </t>
  </si>
  <si>
    <t xml:space="preserve">PR-05046 10044-1 </t>
  </si>
  <si>
    <t xml:space="preserve">147NI0020      </t>
  </si>
  <si>
    <t xml:space="preserve">CABFIX 20X1                   </t>
  </si>
  <si>
    <t xml:space="preserve">140NI0005      </t>
  </si>
  <si>
    <t xml:space="preserve">MANGFIX 4X5                   </t>
  </si>
  <si>
    <t xml:space="preserve">15MGR0005      </t>
  </si>
  <si>
    <t xml:space="preserve">GRAP 15 MOL 4X5               </t>
  </si>
  <si>
    <t xml:space="preserve">MNGBE0005      </t>
  </si>
  <si>
    <t xml:space="preserve">COMPLEFIX 50 BECKER 4X5       </t>
  </si>
  <si>
    <t xml:space="preserve">101FF0001      </t>
  </si>
  <si>
    <t xml:space="preserve">FF CAB 10 12X1                </t>
  </si>
  <si>
    <t xml:space="preserve">104RZ0001      </t>
  </si>
  <si>
    <t xml:space="preserve">RIZO ZINCO 12X1               </t>
  </si>
  <si>
    <t xml:space="preserve">141BU0001      </t>
  </si>
  <si>
    <t xml:space="preserve">TOP GREEN 14/11 12X1          </t>
  </si>
  <si>
    <t xml:space="preserve">PR-05046 10053-0 </t>
  </si>
  <si>
    <t xml:space="preserve">141BU0050      </t>
  </si>
  <si>
    <t xml:space="preserve">TOP GREEN 14/11 50X1          </t>
  </si>
  <si>
    <t xml:space="preserve">15MCI0050      </t>
  </si>
  <si>
    <t xml:space="preserve">GRAP 15 MOL CIABAY 50X1       </t>
  </si>
  <si>
    <t xml:space="preserve">15MRZ0020      </t>
  </si>
  <si>
    <t xml:space="preserve">RIZO MOLIBDENIO 20X1          </t>
  </si>
  <si>
    <t xml:space="preserve">165PR0020      </t>
  </si>
  <si>
    <t xml:space="preserve">NUTRICROP COMO MAX 20X1       </t>
  </si>
  <si>
    <t>PR-05046 10048-3</t>
  </si>
  <si>
    <t xml:space="preserve">306FF0020      </t>
  </si>
  <si>
    <t xml:space="preserve">FF P30 20X1                   </t>
  </si>
  <si>
    <t xml:space="preserve">ANKGR0020      </t>
  </si>
  <si>
    <t xml:space="preserve">GRAP AMYNO NK 20X1            </t>
  </si>
  <si>
    <t xml:space="preserve">BORFF0050      </t>
  </si>
  <si>
    <t xml:space="preserve">FF 10 BORO 50X1               </t>
  </si>
  <si>
    <t xml:space="preserve">BORPR0020      </t>
  </si>
  <si>
    <t xml:space="preserve">NUTRICROP B-MAX 20X1          </t>
  </si>
  <si>
    <t xml:space="preserve">M16GR0050      </t>
  </si>
  <si>
    <t xml:space="preserve">GRAP MONT 16 50X1             </t>
  </si>
  <si>
    <t xml:space="preserve">NITBU0001      </t>
  </si>
  <si>
    <t xml:space="preserve">TOP GREEN N 12X1              </t>
  </si>
  <si>
    <t xml:space="preserve">NITBU0050      </t>
  </si>
  <si>
    <t xml:space="preserve">TOP GREEN N 50X1              </t>
  </si>
  <si>
    <t xml:space="preserve">PHIPR0050      </t>
  </si>
  <si>
    <t xml:space="preserve">NUTRICROP FOSFI MAX 50X1      </t>
  </si>
  <si>
    <t xml:space="preserve">SGUPR0020      </t>
  </si>
  <si>
    <t xml:space="preserve">NUTRICROP TURBO MAX 20X1      </t>
  </si>
  <si>
    <t xml:space="preserve">TOPBU0050      </t>
  </si>
  <si>
    <t xml:space="preserve">TOP GREEN FLUID 50X1          </t>
  </si>
  <si>
    <t xml:space="preserve">TOPFF0050      </t>
  </si>
  <si>
    <t xml:space="preserve">FF ULTRA 50X1                 </t>
  </si>
  <si>
    <t xml:space="preserve">TOPPR0050      </t>
  </si>
  <si>
    <t xml:space="preserve">NUTRICROP COMPLE MAX 50X1     </t>
  </si>
  <si>
    <t>PR-05046 10077-7</t>
  </si>
  <si>
    <t xml:space="preserve">044GR0030      </t>
  </si>
  <si>
    <t xml:space="preserve">GRAP RF 44 (BALDE 30 DS)      </t>
  </si>
  <si>
    <t>PR-08378 10084-5</t>
  </si>
  <si>
    <t xml:space="preserve">IGLNI0080      </t>
  </si>
  <si>
    <t xml:space="preserve">INOC. GELFIX GRAMINEA 80 DS   </t>
  </si>
  <si>
    <t xml:space="preserve">101GR0005      </t>
  </si>
  <si>
    <t xml:space="preserve">GRAP 101 CAB 4X5              </t>
  </si>
  <si>
    <t xml:space="preserve">PR-08378 10063-2 </t>
  </si>
  <si>
    <t xml:space="preserve">ISLGR1230      </t>
  </si>
  <si>
    <t>INOC. GRAP NOD L 120 DS (3,0L)</t>
  </si>
  <si>
    <t xml:space="preserve">15MGR0020      </t>
  </si>
  <si>
    <t xml:space="preserve">GRAP 15 MOL 20X1              </t>
  </si>
  <si>
    <t xml:space="preserve">11RGR1000      </t>
  </si>
  <si>
    <t xml:space="preserve">GRAP 110 RAIZ 1000X1          </t>
  </si>
  <si>
    <t xml:space="preserve">097GR0020      </t>
  </si>
  <si>
    <t xml:space="preserve">GRAP COMO 11 20X1             </t>
  </si>
  <si>
    <t xml:space="preserve">AMXPR0020      </t>
  </si>
  <si>
    <t xml:space="preserve">NUTRICROP AMY MAX 20X1        </t>
  </si>
  <si>
    <t xml:space="preserve">OILBA0005      </t>
  </si>
  <si>
    <t xml:space="preserve">OPTIMIZER 4X5                 </t>
  </si>
  <si>
    <t xml:space="preserve">306GR0030      </t>
  </si>
  <si>
    <t xml:space="preserve">GRAP P306 30X1                </t>
  </si>
  <si>
    <t xml:space="preserve">LMAGA0010      </t>
  </si>
  <si>
    <t xml:space="preserve">GRAP LASCAS MARROM 10KG       </t>
  </si>
  <si>
    <t xml:space="preserve">LPRGA0010      </t>
  </si>
  <si>
    <t xml:space="preserve">GRAP LASCAS PRETO 10KG        </t>
  </si>
  <si>
    <t xml:space="preserve">71RAB0005      </t>
  </si>
  <si>
    <t xml:space="preserve">GRAP COMO RAIZ A. BOLIVIA 4X5 </t>
  </si>
  <si>
    <t xml:space="preserve">TPPAB0020      </t>
  </si>
  <si>
    <t>GRAP TOP FLUID A. BOLIVIA 20X1</t>
  </si>
  <si>
    <t xml:space="preserve">PR-05046 10154-4 </t>
  </si>
  <si>
    <t xml:space="preserve">07RAB0020      </t>
  </si>
  <si>
    <t xml:space="preserve">GRAP MANG. RR A. BOLIVIA 20X1 </t>
  </si>
  <si>
    <t>PR-05046 10155-2</t>
  </si>
  <si>
    <t xml:space="preserve">OCTAG0025      </t>
  </si>
  <si>
    <t xml:space="preserve">GRAP OCTABORATO 25 KG         </t>
  </si>
  <si>
    <t xml:space="preserve">71RGR1000      </t>
  </si>
  <si>
    <t xml:space="preserve">GRAP COMO RAIZ 1000X1         </t>
  </si>
  <si>
    <t xml:space="preserve">IFTGR0120      </t>
  </si>
  <si>
    <t xml:space="preserve">INOC. GRAP NOD F 120 DS       </t>
  </si>
  <si>
    <t>PR-05046 10173-1</t>
  </si>
  <si>
    <t xml:space="preserve">ISTGR1205      </t>
  </si>
  <si>
    <t xml:space="preserve">INOC. GRAP NOD + 120 DS C/ 5  </t>
  </si>
  <si>
    <t xml:space="preserve">M16CI0020      </t>
  </si>
  <si>
    <t xml:space="preserve">GRAP ARROZ CIABAY 20X1        </t>
  </si>
  <si>
    <t xml:space="preserve">ISTGR1210      </t>
  </si>
  <si>
    <t xml:space="preserve">INOC. GRAP NOD + 120 DS C/ 10 </t>
  </si>
  <si>
    <t xml:space="preserve">AMXCI0005      </t>
  </si>
  <si>
    <t xml:space="preserve">GRAP AMYNO MIX CIABAY 4X5     </t>
  </si>
  <si>
    <t xml:space="preserve">07RAB0001      </t>
  </si>
  <si>
    <t>GRAP MANGANES RR A. BOL.  12X1</t>
  </si>
  <si>
    <t xml:space="preserve">M16AB0020      </t>
  </si>
  <si>
    <t xml:space="preserve">GRAP GRAM A. BOLIVIA 20X1     </t>
  </si>
  <si>
    <t xml:space="preserve">PHIAB0020      </t>
  </si>
  <si>
    <t>GRAP PHIL FOSFITO A. BOL. 20X1</t>
  </si>
  <si>
    <t xml:space="preserve">BORAB0020      </t>
  </si>
  <si>
    <t xml:space="preserve">GRAP BORIC A. BOLIVIA 20X1    </t>
  </si>
  <si>
    <t xml:space="preserve">PR-05046 10110-2 </t>
  </si>
  <si>
    <t xml:space="preserve">SCOAG0025      </t>
  </si>
  <si>
    <t xml:space="preserve">SULFATO DE COBALTO 25 KG      </t>
  </si>
  <si>
    <t>PR-05046 10068-8</t>
  </si>
  <si>
    <t xml:space="preserve">114RZ0005      </t>
  </si>
  <si>
    <t xml:space="preserve">RIZO MICRO 10/1,4 - 4X5       </t>
  </si>
  <si>
    <t xml:space="preserve">147FF0050      </t>
  </si>
  <si>
    <t xml:space="preserve">FF CAB-14 50X1                </t>
  </si>
  <si>
    <t xml:space="preserve">LVEGA0010      </t>
  </si>
  <si>
    <t xml:space="preserve">GRAP LASCAS VERM. ESCURO 10KG </t>
  </si>
  <si>
    <t xml:space="preserve">M15NI0001      </t>
  </si>
  <si>
    <t xml:space="preserve">COMPLEFIX S 12X1              </t>
  </si>
  <si>
    <t xml:space="preserve">M15NI0020      </t>
  </si>
  <si>
    <t xml:space="preserve">COMPLEFIX S 20X1              </t>
  </si>
  <si>
    <t xml:space="preserve">M15NI0050      </t>
  </si>
  <si>
    <t xml:space="preserve">COMPLEFIX S 50X1              </t>
  </si>
  <si>
    <t xml:space="preserve">M23GR0020      </t>
  </si>
  <si>
    <t xml:space="preserve">GRAP MONT 23 20X1             </t>
  </si>
  <si>
    <t xml:space="preserve">NITNI0005      </t>
  </si>
  <si>
    <t xml:space="preserve">NFIX 4X5                      </t>
  </si>
  <si>
    <t xml:space="preserve">OILGR0001      </t>
  </si>
  <si>
    <t xml:space="preserve">GRAP OIL 12X1                 </t>
  </si>
  <si>
    <t xml:space="preserve">PHIBE0005      </t>
  </si>
  <si>
    <t xml:space="preserve">FOSPOFIX FOSFITO BECKER 4X5   </t>
  </si>
  <si>
    <t xml:space="preserve">PHIGR0020      </t>
  </si>
  <si>
    <t xml:space="preserve">GRAP PHIL FOSFITO 20X1        </t>
  </si>
  <si>
    <t xml:space="preserve">PR-05046 10107-2 </t>
  </si>
  <si>
    <t xml:space="preserve">PLUGA0500      </t>
  </si>
  <si>
    <t xml:space="preserve">GRAP GARDEN PLUS 12X0,5       </t>
  </si>
  <si>
    <t xml:space="preserve">30KNI0020      </t>
  </si>
  <si>
    <t xml:space="preserve">KFIX 20X1                     </t>
  </si>
  <si>
    <t xml:space="preserve">141GR0050      </t>
  </si>
  <si>
    <t xml:space="preserve">GRAP 14.11 FLUID 50X1         </t>
  </si>
  <si>
    <t xml:space="preserve">141GR0001      </t>
  </si>
  <si>
    <t xml:space="preserve">GRAP 14.11 FLUID 12X1         </t>
  </si>
  <si>
    <t xml:space="preserve">SGUGR0001      </t>
  </si>
  <si>
    <t xml:space="preserve">GRAP SUPER GUN 12X1           </t>
  </si>
  <si>
    <t xml:space="preserve">SGUGR0020      </t>
  </si>
  <si>
    <t xml:space="preserve">GRAP SUPER GUN 20X1           </t>
  </si>
  <si>
    <t xml:space="preserve">SSRGR0005      </t>
  </si>
  <si>
    <t xml:space="preserve">GRAP SUPER GUN SR 4X5         </t>
  </si>
  <si>
    <t xml:space="preserve">TCOSF0005      </t>
  </si>
  <si>
    <t xml:space="preserve">TENSOR PLUS COTRIBA NUTRI 4X5 </t>
  </si>
  <si>
    <t xml:space="preserve">TOPCI0020      </t>
  </si>
  <si>
    <t xml:space="preserve">GRAP TOP FLUID CIABAY 20X1    </t>
  </si>
  <si>
    <t xml:space="preserve">TOPFF0001      </t>
  </si>
  <si>
    <t xml:space="preserve">FF ULTRA 12X1                 </t>
  </si>
  <si>
    <t xml:space="preserve">TOPGA0250      </t>
  </si>
  <si>
    <t xml:space="preserve">GRAP GARDEN SUPER 20X0,25     </t>
  </si>
  <si>
    <t xml:space="preserve">TOPNI0005      </t>
  </si>
  <si>
    <t xml:space="preserve">TOPFIX 4X5                    </t>
  </si>
  <si>
    <t xml:space="preserve">TOPNI0050      </t>
  </si>
  <si>
    <t xml:space="preserve">TOPFIX 50X1                   </t>
  </si>
  <si>
    <t xml:space="preserve">TPLSF0050      </t>
  </si>
  <si>
    <t xml:space="preserve">TENSOR PLUS 50X1              </t>
  </si>
  <si>
    <t xml:space="preserve">102NI1000      </t>
  </si>
  <si>
    <t xml:space="preserve">CABFIX 2 1000X1               </t>
  </si>
  <si>
    <t xml:space="preserve">MNGGR0001      </t>
  </si>
  <si>
    <t xml:space="preserve">GRAP MONT NG 12X1             </t>
  </si>
  <si>
    <t xml:space="preserve">104FF0005      </t>
  </si>
  <si>
    <t xml:space="preserve">FF Z 10 4X5                   </t>
  </si>
  <si>
    <t xml:space="preserve">PR-05046 10005-0 </t>
  </si>
  <si>
    <t xml:space="preserve">104NI0005      </t>
  </si>
  <si>
    <t xml:space="preserve">ZINCOFIX 4X5                  </t>
  </si>
  <si>
    <t xml:space="preserve">110GR0050      </t>
  </si>
  <si>
    <t xml:space="preserve">GRAP 110 JE 50X1              </t>
  </si>
  <si>
    <t xml:space="preserve">140BU0001      </t>
  </si>
  <si>
    <t xml:space="preserve">TOP GREEN MNS 12X1            </t>
  </si>
  <si>
    <t xml:space="preserve">140BU0050      </t>
  </si>
  <si>
    <t xml:space="preserve">TOP GREEN MNS 50X1            </t>
  </si>
  <si>
    <t xml:space="preserve">PR-05046 10052-1 </t>
  </si>
  <si>
    <t xml:space="preserve">15MRZ0005      </t>
  </si>
  <si>
    <t xml:space="preserve">RIZO MOLIBDENIO 4X5           </t>
  </si>
  <si>
    <t xml:space="preserve">165BU0020      </t>
  </si>
  <si>
    <t xml:space="preserve">TOP GREEN COMO 20X1           </t>
  </si>
  <si>
    <t xml:space="preserve">165NI0050      </t>
  </si>
  <si>
    <t xml:space="preserve">COMOFIX 15/1,5 50X1           </t>
  </si>
  <si>
    <t xml:space="preserve">30KCI0001      </t>
  </si>
  <si>
    <t xml:space="preserve">GRAP 30K CIABAY 12X1          </t>
  </si>
  <si>
    <t xml:space="preserve">30KCI0050      </t>
  </si>
  <si>
    <t xml:space="preserve">GRAP 30K CIABAY 50X1          </t>
  </si>
  <si>
    <t xml:space="preserve">ANKGR0001      </t>
  </si>
  <si>
    <t xml:space="preserve">GRAP AMYNO NK 12X1            </t>
  </si>
  <si>
    <t>PR-05046 10084-0</t>
  </si>
  <si>
    <t xml:space="preserve">CANGR0001      </t>
  </si>
  <si>
    <t xml:space="preserve">GRAP CANA 12X1                </t>
  </si>
  <si>
    <t>PR-05046 10089-1</t>
  </si>
  <si>
    <t xml:space="preserve">ENXBU0020      </t>
  </si>
  <si>
    <t xml:space="preserve">TOP GREEN ENXOFRE 20X1        </t>
  </si>
  <si>
    <t xml:space="preserve">M15PR0050      </t>
  </si>
  <si>
    <t xml:space="preserve">NUTRICROP SOJA MAX 50X1       </t>
  </si>
  <si>
    <t xml:space="preserve">M16PR0050      </t>
  </si>
  <si>
    <t xml:space="preserve">NUTRICROP MILHO MAX 50X1      </t>
  </si>
  <si>
    <t xml:space="preserve">M23GR0001      </t>
  </si>
  <si>
    <t xml:space="preserve">GRAP MONT 23 12X1             </t>
  </si>
  <si>
    <t xml:space="preserve">M27GR0001      </t>
  </si>
  <si>
    <t xml:space="preserve">GRAP MONT 27 12X1             </t>
  </si>
  <si>
    <t xml:space="preserve">PHIBU0001      </t>
  </si>
  <si>
    <t xml:space="preserve">TOP GREEN FORT FOSFITO 12X1   </t>
  </si>
  <si>
    <t xml:space="preserve">SSRGR0050      </t>
  </si>
  <si>
    <t xml:space="preserve">GRAP SUPER GUN SR 50X1        </t>
  </si>
  <si>
    <t xml:space="preserve">TOPPR0001      </t>
  </si>
  <si>
    <t xml:space="preserve">NUTRICROP COMPLE MAX 12X1     </t>
  </si>
  <si>
    <t xml:space="preserve">LMAGA0002      </t>
  </si>
  <si>
    <t xml:space="preserve">GRAP LASCAS MARROM 2KG        </t>
  </si>
  <si>
    <t xml:space="preserve">TPPGR0020      </t>
  </si>
  <si>
    <t xml:space="preserve">GRAP TOP FLUID PLUS 20X1      </t>
  </si>
  <si>
    <t xml:space="preserve">306NI0020      </t>
  </si>
  <si>
    <t xml:space="preserve">NEUTRAFIX 20X1                </t>
  </si>
  <si>
    <t xml:space="preserve">07RGR0020      </t>
  </si>
  <si>
    <t xml:space="preserve">GRAP MANGANES RR PLUS 20X1    </t>
  </si>
  <si>
    <t>PR-05046 10124-2</t>
  </si>
  <si>
    <t xml:space="preserve">FERGR0020      </t>
  </si>
  <si>
    <t xml:space="preserve">GRAP FERRO 20X1               </t>
  </si>
  <si>
    <t xml:space="preserve">ISLGR1260      </t>
  </si>
  <si>
    <t>INOC. GRAP NOD L 120 DS (6,0L)</t>
  </si>
  <si>
    <t>PR-05046 10135-8</t>
  </si>
  <si>
    <t xml:space="preserve">GORGR0020      </t>
  </si>
  <si>
    <t xml:space="preserve">GRAP ORGANO N 20X1            </t>
  </si>
  <si>
    <t xml:space="preserve">PR-93923 10074-1 </t>
  </si>
  <si>
    <t xml:space="preserve">IGLAZ0120      </t>
  </si>
  <si>
    <t xml:space="preserve">INOC. AZOTOTAL 120 DS         </t>
  </si>
  <si>
    <t xml:space="preserve">PMNGR0005      </t>
  </si>
  <si>
    <t xml:space="preserve">GRAP PHIL MN 4X5              </t>
  </si>
  <si>
    <t>PR-93923-10035-1</t>
  </si>
  <si>
    <t xml:space="preserve">ISLAZ0120      </t>
  </si>
  <si>
    <t>INOC. TOTAL SOJA 120 DS (6,0L)</t>
  </si>
  <si>
    <t xml:space="preserve">104CI0020      </t>
  </si>
  <si>
    <t xml:space="preserve">GRAP 104 FLUID CIABAY 20X1    </t>
  </si>
  <si>
    <t xml:space="preserve">306BE0001      </t>
  </si>
  <si>
    <t xml:space="preserve">NEUTRAFIX BECKER 12X1         </t>
  </si>
  <si>
    <t xml:space="preserve">110GR1000      </t>
  </si>
  <si>
    <t xml:space="preserve">GRAP 110 JE 1000X1            </t>
  </si>
  <si>
    <t xml:space="preserve">DYNSF0001      </t>
  </si>
  <si>
    <t xml:space="preserve">DYN PLUS 12X1                 </t>
  </si>
  <si>
    <t xml:space="preserve">097GR0001      </t>
  </si>
  <si>
    <t xml:space="preserve">GRAP COMO 11 12X1             </t>
  </si>
  <si>
    <t xml:space="preserve">71RGR0001      </t>
  </si>
  <si>
    <t xml:space="preserve">GRAP COMO RAIZ 12X1           </t>
  </si>
  <si>
    <t xml:space="preserve">SENGR0020      </t>
  </si>
  <si>
    <t xml:space="preserve">GRAP SENSOR 20X1              </t>
  </si>
  <si>
    <t xml:space="preserve">SPAAG0025      </t>
  </si>
  <si>
    <t xml:space="preserve">GRAP ENXOFRE 99 25 KG         </t>
  </si>
  <si>
    <t xml:space="preserve">BORGR0005      </t>
  </si>
  <si>
    <t xml:space="preserve">GRAP BORIC 4X5                </t>
  </si>
  <si>
    <t xml:space="preserve">SGUAB0001      </t>
  </si>
  <si>
    <t>GRAP SUPER GUN A. BOLIVIA 12X1</t>
  </si>
  <si>
    <t xml:space="preserve">30KAB0020      </t>
  </si>
  <si>
    <t xml:space="preserve">GRAP 30K A. BOLIVIA 20X1      </t>
  </si>
  <si>
    <t xml:space="preserve">CANAB0020      </t>
  </si>
  <si>
    <t>PR-05046 10164-1</t>
  </si>
  <si>
    <t xml:space="preserve">A15GR0020      </t>
  </si>
  <si>
    <t xml:space="preserve">GRAP AMYNO 15 20X1            </t>
  </si>
  <si>
    <t xml:space="preserve">PHIPR0001      </t>
  </si>
  <si>
    <t xml:space="preserve">NUTRICROP FOSFI MAX 12X1      </t>
  </si>
  <si>
    <t xml:space="preserve">BLSGR0015      </t>
  </si>
  <si>
    <t xml:space="preserve">BOLSA INOC. SOJA COM 1,5 L    </t>
  </si>
  <si>
    <t xml:space="preserve">BORGR0001      </t>
  </si>
  <si>
    <t xml:space="preserve">GRAP BORIC 12X1               </t>
  </si>
  <si>
    <t xml:space="preserve">A15GR0001      </t>
  </si>
  <si>
    <t xml:space="preserve">GRAP AMYNO 15 12X1            </t>
  </si>
  <si>
    <t xml:space="preserve">180GR0020      </t>
  </si>
  <si>
    <t xml:space="preserve">GRAP 180 JE 20X1              </t>
  </si>
  <si>
    <t>PR- 93923 10034-2</t>
  </si>
  <si>
    <t xml:space="preserve">ICLAZ1010      </t>
  </si>
  <si>
    <t>INOC. TOTALNITRO F. CAUPI 10DS</t>
  </si>
  <si>
    <t xml:space="preserve">NITAB0001      </t>
  </si>
  <si>
    <t xml:space="preserve">GRAP NITRO A. BOLIVIA 12X1    </t>
  </si>
  <si>
    <t xml:space="preserve">PHIAB0001      </t>
  </si>
  <si>
    <t xml:space="preserve">GRAP PHIL FOSFITO A. BOL 12X1 </t>
  </si>
  <si>
    <t xml:space="preserve">NITGR0020      </t>
  </si>
  <si>
    <t xml:space="preserve">GRAP NITRO 20X1               </t>
  </si>
  <si>
    <t xml:space="preserve">OILGR0005      </t>
  </si>
  <si>
    <t xml:space="preserve">GRAP OIL 4X5                  </t>
  </si>
  <si>
    <t xml:space="preserve">ORGGA0025      </t>
  </si>
  <si>
    <t xml:space="preserve">GRAP GARDEN ORGANICO 25KG     </t>
  </si>
  <si>
    <t xml:space="preserve">PAMOSTRA       </t>
  </si>
  <si>
    <t xml:space="preserve">PRODUTO AMOSTRA               </t>
  </si>
  <si>
    <t xml:space="preserve">PHIBU0020      </t>
  </si>
  <si>
    <t xml:space="preserve">TOP GREEN FORT FOSFITO 20X1   </t>
  </si>
  <si>
    <t xml:space="preserve">PHINI0020      </t>
  </si>
  <si>
    <t xml:space="preserve">FOSPOFIX FOSFITO 20X1         </t>
  </si>
  <si>
    <t xml:space="preserve">PHINI0050      </t>
  </si>
  <si>
    <t xml:space="preserve">FOSPOFIX FOSFITO 50X1         </t>
  </si>
  <si>
    <t xml:space="preserve">SGUGR0005      </t>
  </si>
  <si>
    <t xml:space="preserve">GRAP SUPER GUN 4X5            </t>
  </si>
  <si>
    <t xml:space="preserve">SGUNI0001      </t>
  </si>
  <si>
    <t xml:space="preserve">POWER FIX 12X1                </t>
  </si>
  <si>
    <t xml:space="preserve">PR-05046 10072-6 </t>
  </si>
  <si>
    <t xml:space="preserve">AN1GR0050      </t>
  </si>
  <si>
    <t xml:space="preserve">GRAP AMYNO N11 50X1           </t>
  </si>
  <si>
    <t xml:space="preserve">TCOSF0001      </t>
  </si>
  <si>
    <t>TENSOR PLUS COTRIBA NUTRI 12X1</t>
  </si>
  <si>
    <t xml:space="preserve">TOPGR0050      </t>
  </si>
  <si>
    <t xml:space="preserve">GRAP TOP FLUID 50X1           </t>
  </si>
  <si>
    <t xml:space="preserve">TOPNI0020      </t>
  </si>
  <si>
    <t xml:space="preserve">TOPFIX 20X1                   </t>
  </si>
  <si>
    <t xml:space="preserve">065GR0020      </t>
  </si>
  <si>
    <t xml:space="preserve">GRAP COBRE 20X1               </t>
  </si>
  <si>
    <t xml:space="preserve">065GR0005      </t>
  </si>
  <si>
    <t xml:space="preserve">GRAP COBRE 4X5                </t>
  </si>
  <si>
    <t xml:space="preserve">100NI0005      </t>
  </si>
  <si>
    <t xml:space="preserve">MANGFIX 10 4X5                </t>
  </si>
  <si>
    <t xml:space="preserve">101BU0050      </t>
  </si>
  <si>
    <t xml:space="preserve">TOP GREEN CAB 50X1            </t>
  </si>
  <si>
    <t xml:space="preserve">101FF0050      </t>
  </si>
  <si>
    <t xml:space="preserve">FF CAB 10 50X1                </t>
  </si>
  <si>
    <t xml:space="preserve">101PR0050      </t>
  </si>
  <si>
    <t xml:space="preserve">NUTRICROP CAB-MAX 50X1        </t>
  </si>
  <si>
    <t xml:space="preserve">104FF0050      </t>
  </si>
  <si>
    <t xml:space="preserve">FF Z 10 50X1                  </t>
  </si>
  <si>
    <t xml:space="preserve">104NI0001      </t>
  </si>
  <si>
    <t xml:space="preserve">ZINCOFIX 12X1                 </t>
  </si>
  <si>
    <t xml:space="preserve">110CI0050      </t>
  </si>
  <si>
    <t xml:space="preserve">GRAP 110 JE CIABAY 50X1       </t>
  </si>
  <si>
    <t xml:space="preserve">140RZ0050      </t>
  </si>
  <si>
    <t xml:space="preserve">RIZO MANGANES 50X1            </t>
  </si>
  <si>
    <t xml:space="preserve">141BU0020      </t>
  </si>
  <si>
    <t xml:space="preserve">TOP GREEN 14/11 20X1          </t>
  </si>
  <si>
    <t xml:space="preserve">141GR0005      </t>
  </si>
  <si>
    <t xml:space="preserve">GRAP 14.11 FLUID 4X5          </t>
  </si>
  <si>
    <t xml:space="preserve">15MRZ0050      </t>
  </si>
  <si>
    <t xml:space="preserve">RIZO MOLIBDENIO 50X1          </t>
  </si>
  <si>
    <t xml:space="preserve">306FF0050      </t>
  </si>
  <si>
    <t xml:space="preserve">FF P30 50X1                   </t>
  </si>
  <si>
    <t xml:space="preserve">BORPR0050      </t>
  </si>
  <si>
    <t xml:space="preserve">NUTRICROP B-MAX 50X1          </t>
  </si>
  <si>
    <t xml:space="preserve">ENXBU0001      </t>
  </si>
  <si>
    <t xml:space="preserve">TOP GREEN ENXOFRE 12X1        </t>
  </si>
  <si>
    <t xml:space="preserve">MAGGR0050      </t>
  </si>
  <si>
    <t xml:space="preserve">GRAP MAGNESIO 50X1            </t>
  </si>
  <si>
    <t xml:space="preserve">MNGBU0020      </t>
  </si>
  <si>
    <t xml:space="preserve">TOP GREEN MIX 20X1            </t>
  </si>
  <si>
    <t xml:space="preserve">MNGGR0050      </t>
  </si>
  <si>
    <t xml:space="preserve">GRAP MONT NG 50X1             </t>
  </si>
  <si>
    <t xml:space="preserve">NITBE0001      </t>
  </si>
  <si>
    <t xml:space="preserve">GENOFIX 12X1                  </t>
  </si>
  <si>
    <t xml:space="preserve">OILCI0001      </t>
  </si>
  <si>
    <t xml:space="preserve">GRAP OIL CIABAY 12X1          </t>
  </si>
  <si>
    <t xml:space="preserve">PHIBU0005      </t>
  </si>
  <si>
    <t xml:space="preserve">TOP GREEN FORT FOSFITO 4X5    </t>
  </si>
  <si>
    <t xml:space="preserve">PHIBU0050      </t>
  </si>
  <si>
    <t xml:space="preserve">TOP GREEN FORT FOSFITO 50X1   </t>
  </si>
  <si>
    <t xml:space="preserve">SGUPR0050      </t>
  </si>
  <si>
    <t xml:space="preserve">NUTRICROP TURBO MAX 50X1      </t>
  </si>
  <si>
    <t>PR-05046 10091-2</t>
  </si>
  <si>
    <t xml:space="preserve">SZNAG0025      </t>
  </si>
  <si>
    <t xml:space="preserve">SULFATO DE ZINCO 25KG         </t>
  </si>
  <si>
    <t xml:space="preserve">TCOSF0050      </t>
  </si>
  <si>
    <t>TENSOR PLUS COTRIBA NUTRI 50X1</t>
  </si>
  <si>
    <t xml:space="preserve">TOPCI0005      </t>
  </si>
  <si>
    <t xml:space="preserve">GRAP TOP FLUID CIABAY 4X5     </t>
  </si>
  <si>
    <t>PR-08378 10005-5</t>
  </si>
  <si>
    <t xml:space="preserve">IFTNI0060      </t>
  </si>
  <si>
    <t xml:space="preserve">INOC. NITRAFIX FEIJAO 60DS    </t>
  </si>
  <si>
    <t xml:space="preserve">140GR1000      </t>
  </si>
  <si>
    <t xml:space="preserve">GRAP 140 FLUID 1000X1         </t>
  </si>
  <si>
    <t xml:space="preserve">AMXPR0005      </t>
  </si>
  <si>
    <t xml:space="preserve">NUTRICROP AMY MAX 4X5         </t>
  </si>
  <si>
    <t>PR- 94581 10000-8</t>
  </si>
  <si>
    <t xml:space="preserve">ISLN11815      </t>
  </si>
  <si>
    <t>INOC. NITRO 1000 180 DS (1,5L)</t>
  </si>
  <si>
    <t xml:space="preserve">71RAP0005      </t>
  </si>
  <si>
    <t xml:space="preserve">GRAP COMO RAIZ AGROPART. 4X5  </t>
  </si>
  <si>
    <t xml:space="preserve">TPPAP0020      </t>
  </si>
  <si>
    <t xml:space="preserve">GRAP TOP FLUID AGROPART. 20X1 </t>
  </si>
  <si>
    <t xml:space="preserve">140GR0005      </t>
  </si>
  <si>
    <t xml:space="preserve">GRAP 140 FLUID 4X5            </t>
  </si>
  <si>
    <t xml:space="preserve">PMNGR0050      </t>
  </si>
  <si>
    <t xml:space="preserve">GRAP PHIL MN 50X1             </t>
  </si>
  <si>
    <t>PR-05046 10056-4</t>
  </si>
  <si>
    <t xml:space="preserve">145GR0020      </t>
  </si>
  <si>
    <t xml:space="preserve">GRAP CALCIO 20X1              </t>
  </si>
  <si>
    <t xml:space="preserve">MNGBE0050      </t>
  </si>
  <si>
    <t xml:space="preserve">COMPLEFIX 50 BECKER 50X1      </t>
  </si>
  <si>
    <t xml:space="preserve">ISLNI0120      </t>
  </si>
  <si>
    <t xml:space="preserve">INOC. GELFIX 120 DS           </t>
  </si>
  <si>
    <t>PR-05046 10174-9</t>
  </si>
  <si>
    <t xml:space="preserve">IFTGR0606      </t>
  </si>
  <si>
    <t xml:space="preserve">INOC. GRAP NOD F 60 DS C/ 6   </t>
  </si>
  <si>
    <t>PR-93923 10074-1</t>
  </si>
  <si>
    <t xml:space="preserve">IGLGR1215      </t>
  </si>
  <si>
    <t>INOC. GRAP NOD A 120 DS (1,5L)</t>
  </si>
  <si>
    <t xml:space="preserve">LPRGA0002      </t>
  </si>
  <si>
    <t xml:space="preserve">GRAP LASCAS PRETO 2KG         </t>
  </si>
  <si>
    <t xml:space="preserve">LVCGA0002      </t>
  </si>
  <si>
    <t xml:space="preserve">GRAP LASCAS VERM. CLARO 2KG   </t>
  </si>
  <si>
    <t xml:space="preserve">BORGR0020      </t>
  </si>
  <si>
    <t xml:space="preserve">GRAP BORIC 20X1               </t>
  </si>
  <si>
    <t xml:space="preserve">71RAB0001      </t>
  </si>
  <si>
    <t>GRAP COMO RAIZ A. BOLIVIA 12X1</t>
  </si>
  <si>
    <t xml:space="preserve">A15GR0005      </t>
  </si>
  <si>
    <t xml:space="preserve">GRAP AMYNO 15 4X5             </t>
  </si>
  <si>
    <t xml:space="preserve">PH4GR0005      </t>
  </si>
  <si>
    <t xml:space="preserve">GRAP PHIL 40/20 4X5           </t>
  </si>
  <si>
    <t>PR-05046 10172-2</t>
  </si>
  <si>
    <t xml:space="preserve">CKAAG0025      </t>
  </si>
  <si>
    <t xml:space="preserve">CARBONATO DE POTASSIO 25 KG   </t>
  </si>
  <si>
    <t xml:space="preserve">07RGR0200      </t>
  </si>
  <si>
    <t xml:space="preserve">GRAP MANGANES RR PLUS 200X1   </t>
  </si>
  <si>
    <t xml:space="preserve">GORGR0001      </t>
  </si>
  <si>
    <t xml:space="preserve">GRAP ORGANO N 12X1            </t>
  </si>
  <si>
    <t xml:space="preserve">TPPCI0005      </t>
  </si>
  <si>
    <t>GRAP TOP FLUID PLUS CIABAY 4X5</t>
  </si>
  <si>
    <t xml:space="preserve">PHICI0005      </t>
  </si>
  <si>
    <t xml:space="preserve">GRAP PHIL FOSFITO CIABAY 4X5  </t>
  </si>
  <si>
    <t xml:space="preserve">114RZ0001      </t>
  </si>
  <si>
    <t xml:space="preserve">RIZO MICRO 10/1,4 - 12X1      </t>
  </si>
  <si>
    <t xml:space="preserve">114RZ0026      </t>
  </si>
  <si>
    <t xml:space="preserve">RIZO MICRO 10/1,4 - 4X2,6     </t>
  </si>
  <si>
    <t xml:space="preserve">140BU0005      </t>
  </si>
  <si>
    <t xml:space="preserve">TOP GREEN MNS 4X5             </t>
  </si>
  <si>
    <t xml:space="preserve">140NI0001      </t>
  </si>
  <si>
    <t xml:space="preserve">MANGFIX 12X1                  </t>
  </si>
  <si>
    <t xml:space="preserve">140NI0020      </t>
  </si>
  <si>
    <t xml:space="preserve">MANGFIX 20X1                  </t>
  </si>
  <si>
    <t xml:space="preserve">147FF0001      </t>
  </si>
  <si>
    <t xml:space="preserve">FF CAB-14 12X1                </t>
  </si>
  <si>
    <t xml:space="preserve">M15GR0001      </t>
  </si>
  <si>
    <t xml:space="preserve">GRAP MONT 15 12X1             </t>
  </si>
  <si>
    <t xml:space="preserve">048GR0030      </t>
  </si>
  <si>
    <t xml:space="preserve">GRAP RF 48 (BALDE 30 DS)      </t>
  </si>
  <si>
    <t xml:space="preserve">065NI0020      </t>
  </si>
  <si>
    <t xml:space="preserve">COBREFIX 20X1                 </t>
  </si>
  <si>
    <t xml:space="preserve">101GR0001      </t>
  </si>
  <si>
    <t xml:space="preserve">GRAP 101 CAB 12X1             </t>
  </si>
  <si>
    <t xml:space="preserve">10RGR0020      </t>
  </si>
  <si>
    <t xml:space="preserve">GRAP MANGANES RR 20X1         </t>
  </si>
  <si>
    <t>PR-05046 10000-9</t>
  </si>
  <si>
    <t xml:space="preserve">NGPGR0050      </t>
  </si>
  <si>
    <t xml:space="preserve">GRAP MONT NG PLUS 50X1        </t>
  </si>
  <si>
    <t xml:space="preserve">065NI0005      </t>
  </si>
  <si>
    <t xml:space="preserve">COBREFIX 4X5                  </t>
  </si>
  <si>
    <t xml:space="preserve">MAGNI0050      </t>
  </si>
  <si>
    <t xml:space="preserve">MG FIX 50X1                   </t>
  </si>
  <si>
    <t>PR-05046 10058-1</t>
  </si>
  <si>
    <t xml:space="preserve">AMNGR0020      </t>
  </si>
  <si>
    <t xml:space="preserve">GRAP AMYNO N 20X1             </t>
  </si>
  <si>
    <t>PR-05046 10122-6</t>
  </si>
  <si>
    <t xml:space="preserve">ZNCUS0001      </t>
  </si>
  <si>
    <t xml:space="preserve">GRAP 104 FLUID USA 12X1       </t>
  </si>
  <si>
    <t xml:space="preserve">110US0001      </t>
  </si>
  <si>
    <t xml:space="preserve">GRAP 110 JE USA 12X1          </t>
  </si>
  <si>
    <t xml:space="preserve">165US0001      </t>
  </si>
  <si>
    <t xml:space="preserve">GRAP 165 JE USA 12X1          </t>
  </si>
  <si>
    <t xml:space="preserve">048PR0030      </t>
  </si>
  <si>
    <t>NUTRICROP SEED MAX (BLD 30 DS)</t>
  </si>
  <si>
    <t xml:space="preserve">101BU0005      </t>
  </si>
  <si>
    <t xml:space="preserve">TOP GREEN CAB 4X5             </t>
  </si>
  <si>
    <t xml:space="preserve">101FF0005      </t>
  </si>
  <si>
    <t xml:space="preserve">FF CAB 10 4X5                 </t>
  </si>
  <si>
    <t>PR-05046 10101-3</t>
  </si>
  <si>
    <t xml:space="preserve">016GR0050      </t>
  </si>
  <si>
    <t xml:space="preserve">GRAP RF 16                    </t>
  </si>
  <si>
    <t xml:space="preserve">110CI0001      </t>
  </si>
  <si>
    <t xml:space="preserve">GRAP 110 JE CIABAY 12X1       </t>
  </si>
  <si>
    <t xml:space="preserve">110CI0020      </t>
  </si>
  <si>
    <t xml:space="preserve">GRAP 110 JE CIABAY 20X1       </t>
  </si>
  <si>
    <t xml:space="preserve">140BU0020      </t>
  </si>
  <si>
    <t xml:space="preserve">TOP GREEN MNS 20X1            </t>
  </si>
  <si>
    <t xml:space="preserve">147GR0001      </t>
  </si>
  <si>
    <t xml:space="preserve">GRAP 147 FLUID 12X1           </t>
  </si>
  <si>
    <t>PR-05046 10018-1</t>
  </si>
  <si>
    <t xml:space="preserve">150GR0050      </t>
  </si>
  <si>
    <t xml:space="preserve">GRAP 150 50X1                 </t>
  </si>
  <si>
    <t xml:space="preserve">150NI0020      </t>
  </si>
  <si>
    <t xml:space="preserve">PR-05046 10018-1 </t>
  </si>
  <si>
    <t xml:space="preserve">150NI0050      </t>
  </si>
  <si>
    <t xml:space="preserve">COBREFIX 50X1                 </t>
  </si>
  <si>
    <t xml:space="preserve">PR-05046 10082-3 </t>
  </si>
  <si>
    <t xml:space="preserve">15TNI0005      </t>
  </si>
  <si>
    <t xml:space="preserve">COMOFIX 15TS 4X5              </t>
  </si>
  <si>
    <t xml:space="preserve">165BU0005      </t>
  </si>
  <si>
    <t xml:space="preserve">TOP GREEN COMO 4X5            </t>
  </si>
  <si>
    <t xml:space="preserve">165TS0028      </t>
  </si>
  <si>
    <t xml:space="preserve">NITRO SUPER PLANT 4X2,8       </t>
  </si>
  <si>
    <t xml:space="preserve">AMXBE0005      </t>
  </si>
  <si>
    <t xml:space="preserve">MACROFIX BECKER 4X5           </t>
  </si>
  <si>
    <t xml:space="preserve">AN1GR0001      </t>
  </si>
  <si>
    <t xml:space="preserve">GRAP AMYNO N11 12X1           </t>
  </si>
  <si>
    <t xml:space="preserve">BORCI0020      </t>
  </si>
  <si>
    <t xml:space="preserve">GRAP BORIC CIABAY 20X1        </t>
  </si>
  <si>
    <t xml:space="preserve">BORCI0050      </t>
  </si>
  <si>
    <t xml:space="preserve">GRAP BORIC CIABAY 50X1        </t>
  </si>
  <si>
    <t xml:space="preserve">BORPR0005      </t>
  </si>
  <si>
    <t xml:space="preserve">NUTRICROP B-MAX 4X5           </t>
  </si>
  <si>
    <t xml:space="preserve">ENXGR0005      </t>
  </si>
  <si>
    <t xml:space="preserve">GRAP ENXOFRE 4X5              </t>
  </si>
  <si>
    <t xml:space="preserve">LVDGA0002      </t>
  </si>
  <si>
    <t xml:space="preserve">GRAP LASCAS VERDE 2KG         </t>
  </si>
  <si>
    <t xml:space="preserve">M15MA0020      </t>
  </si>
  <si>
    <t xml:space="preserve">COMPLEFIX S MATRISOJA 20X1    </t>
  </si>
  <si>
    <t xml:space="preserve">M16PR0020      </t>
  </si>
  <si>
    <t xml:space="preserve">NUTRICROP MILHO MAX 20X1      </t>
  </si>
  <si>
    <t xml:space="preserve">M27GR0020      </t>
  </si>
  <si>
    <t xml:space="preserve">GRAP MONT 27 20X1             </t>
  </si>
  <si>
    <t>PR-05046 10109-9</t>
  </si>
  <si>
    <t xml:space="preserve">MOLAG0025      </t>
  </si>
  <si>
    <t xml:space="preserve">MOLIBDATO DE SODIO 25KG       </t>
  </si>
  <si>
    <t xml:space="preserve">TPPGR0005      </t>
  </si>
  <si>
    <t xml:space="preserve">GRAP TOP FLUID PLUS 4X5       </t>
  </si>
  <si>
    <t xml:space="preserve">TOPGR0005      </t>
  </si>
  <si>
    <t xml:space="preserve">GRAP TOP FLUID 4X5            </t>
  </si>
  <si>
    <t xml:space="preserve">104BE0050      </t>
  </si>
  <si>
    <t xml:space="preserve">ZINCOFIX BECKER 50X1          </t>
  </si>
  <si>
    <t xml:space="preserve">102CI0050      </t>
  </si>
  <si>
    <t xml:space="preserve">GRAP 102 CAB CIABAY 50X1      </t>
  </si>
  <si>
    <t xml:space="preserve">104BU0001      </t>
  </si>
  <si>
    <t xml:space="preserve">TOP GREEN ZNS 12X1            </t>
  </si>
  <si>
    <t xml:space="preserve">104BU0020      </t>
  </si>
  <si>
    <t xml:space="preserve">TOP GREEN ZNS 20X1            </t>
  </si>
  <si>
    <t xml:space="preserve">104RZ0050      </t>
  </si>
  <si>
    <t xml:space="preserve">RIZO ZINCO 50X1               </t>
  </si>
  <si>
    <t xml:space="preserve">10RNI0005      </t>
  </si>
  <si>
    <t xml:space="preserve">MANGFIX RR 4X5                </t>
  </si>
  <si>
    <t xml:space="preserve">MAGGR0001      </t>
  </si>
  <si>
    <t xml:space="preserve">GRAP MAGNESIO 12X1            </t>
  </si>
  <si>
    <t xml:space="preserve">MNGNI0020      </t>
  </si>
  <si>
    <t xml:space="preserve">COMPLEFIX 50 20X1             </t>
  </si>
  <si>
    <t xml:space="preserve">102NI0005      </t>
  </si>
  <si>
    <t xml:space="preserve">CABFIX 2 4X5                  </t>
  </si>
  <si>
    <t xml:space="preserve">110GR0005      </t>
  </si>
  <si>
    <t xml:space="preserve">GRAP 110 JE 4X5               </t>
  </si>
  <si>
    <t xml:space="preserve">110GR0020      </t>
  </si>
  <si>
    <t xml:space="preserve">GRAP 110 JE 20X1              </t>
  </si>
  <si>
    <t xml:space="preserve">PR-05046 10051-3 </t>
  </si>
  <si>
    <t xml:space="preserve">165NI0005      </t>
  </si>
  <si>
    <t xml:space="preserve">COMOFIX 15/1,5 4X5            </t>
  </si>
  <si>
    <t xml:space="preserve">306FF0001      </t>
  </si>
  <si>
    <t xml:space="preserve">FF P30 12X1                   </t>
  </si>
  <si>
    <t xml:space="preserve">306FF0005      </t>
  </si>
  <si>
    <t xml:space="preserve">FF P30 4X5                    </t>
  </si>
  <si>
    <t xml:space="preserve">306NI0050      </t>
  </si>
  <si>
    <t xml:space="preserve">NEUTRAFIX 50X1                </t>
  </si>
  <si>
    <t xml:space="preserve">30KGR0050      </t>
  </si>
  <si>
    <t xml:space="preserve">GRAP 30K 50X1                 </t>
  </si>
  <si>
    <t xml:space="preserve">AN1GR0020      </t>
  </si>
  <si>
    <t xml:space="preserve">GRAP AMYNO N11 20X1           </t>
  </si>
  <si>
    <t xml:space="preserve">BORPR0001      </t>
  </si>
  <si>
    <t xml:space="preserve">NUTRICROP B-MAX 12X1          </t>
  </si>
  <si>
    <t xml:space="preserve">CANGR0050      </t>
  </si>
  <si>
    <t xml:space="preserve">GRAP CANA 50X1                </t>
  </si>
  <si>
    <t xml:space="preserve">ENXGR0020      </t>
  </si>
  <si>
    <t xml:space="preserve">GRAP ENXOFRE 20X1             </t>
  </si>
  <si>
    <t xml:space="preserve">ENXGR0050      </t>
  </si>
  <si>
    <t xml:space="preserve">GRAP ENXOFRE 50X1             </t>
  </si>
  <si>
    <t xml:space="preserve">IFTNI0040      </t>
  </si>
  <si>
    <t xml:space="preserve">INOC. NITRAFIX FEIJAO 40DS    </t>
  </si>
  <si>
    <t xml:space="preserve">NITBE0020      </t>
  </si>
  <si>
    <t xml:space="preserve">GENOFIX 20X1                  </t>
  </si>
  <si>
    <t xml:space="preserve">NITNI0020      </t>
  </si>
  <si>
    <t xml:space="preserve">NFIX 20X1                     </t>
  </si>
  <si>
    <t>PR-05046 10111-1</t>
  </si>
  <si>
    <t xml:space="preserve">SCUAG0025      </t>
  </si>
  <si>
    <t xml:space="preserve">SULFATO DE COBRE 25 KG        </t>
  </si>
  <si>
    <t xml:space="preserve">SSRCI0005      </t>
  </si>
  <si>
    <t xml:space="preserve">GRAP SUPER GUN SR CIABAY 4X5  </t>
  </si>
  <si>
    <t xml:space="preserve">TNTSF0020      </t>
  </si>
  <si>
    <t xml:space="preserve">TENSOR PLUS NUTRI TOP 20X1    </t>
  </si>
  <si>
    <t xml:space="preserve">TPLSF0001      </t>
  </si>
  <si>
    <t xml:space="preserve">TENSOR PLUS 12X1              </t>
  </si>
  <si>
    <t>PR- 9392310035-1</t>
  </si>
  <si>
    <t xml:space="preserve">ISLAZ1215      </t>
  </si>
  <si>
    <t>INOC. TOTAL SOJA 120 DS (1,5L)</t>
  </si>
  <si>
    <t xml:space="preserve">FPXSY0005      </t>
  </si>
  <si>
    <t xml:space="preserve">FUNGICIDA PRIORI XTRA 4X5     </t>
  </si>
  <si>
    <t xml:space="preserve">TPPGR0050      </t>
  </si>
  <si>
    <t xml:space="preserve">GRAP TOP FLUID PLUS 50X1      </t>
  </si>
  <si>
    <t xml:space="preserve">PMNGR0020      </t>
  </si>
  <si>
    <t xml:space="preserve">GRAP PHIL MN 20X1             </t>
  </si>
  <si>
    <t xml:space="preserve">M27RZ0050      </t>
  </si>
  <si>
    <t xml:space="preserve">RIZO COMPLEX II 50X1          </t>
  </si>
  <si>
    <t xml:space="preserve">NITCI0005      </t>
  </si>
  <si>
    <t xml:space="preserve">GRAP NITRO CIABAY 4X5         </t>
  </si>
  <si>
    <t xml:space="preserve">NITPR0005      </t>
  </si>
  <si>
    <t xml:space="preserve">NUTRICROP NITRO MAX 4X5       </t>
  </si>
  <si>
    <t xml:space="preserve">SGUCI0050      </t>
  </si>
  <si>
    <t xml:space="preserve">GRAP SUPER GUN CIABAY 50X1    </t>
  </si>
  <si>
    <t xml:space="preserve">SGUNI0005      </t>
  </si>
  <si>
    <t xml:space="preserve">POWER FIX 4X5                 </t>
  </si>
  <si>
    <t xml:space="preserve">SGUNI0020      </t>
  </si>
  <si>
    <t xml:space="preserve">POWER FIX 20X1                </t>
  </si>
  <si>
    <t xml:space="preserve">SGUNI0050      </t>
  </si>
  <si>
    <t xml:space="preserve">POWER FIX 50X1                </t>
  </si>
  <si>
    <t xml:space="preserve">TMASF0001      </t>
  </si>
  <si>
    <t xml:space="preserve">TENSOR MAX 12X1               </t>
  </si>
  <si>
    <t xml:space="preserve">TOPBU0020      </t>
  </si>
  <si>
    <t xml:space="preserve">TOP GREEN FLUID 20X1          </t>
  </si>
  <si>
    <t xml:space="preserve">07RGR0001      </t>
  </si>
  <si>
    <t xml:space="preserve">GRAP MANGANES RR PLUS 12X1    </t>
  </si>
  <si>
    <t xml:space="preserve">AN1GR0005      </t>
  </si>
  <si>
    <t xml:space="preserve">GRAP AMYNO N11 4X5            </t>
  </si>
  <si>
    <t xml:space="preserve">065NI0001      </t>
  </si>
  <si>
    <t xml:space="preserve">COBREFIX 12X1                 </t>
  </si>
  <si>
    <t xml:space="preserve">15MGR0050      </t>
  </si>
  <si>
    <t xml:space="preserve">GRAP 15 MOL 50X1              </t>
  </si>
  <si>
    <t xml:space="preserve">100NI0050      </t>
  </si>
  <si>
    <t xml:space="preserve">MANGFIX 10 50X1               </t>
  </si>
  <si>
    <t xml:space="preserve">CAFGR0001      </t>
  </si>
  <si>
    <t xml:space="preserve">GRAP CAFE 12X1                </t>
  </si>
  <si>
    <t xml:space="preserve">MAGNI0005      </t>
  </si>
  <si>
    <t xml:space="preserve">MG FIX 4X5                    </t>
  </si>
  <si>
    <t xml:space="preserve">MAGNI0020      </t>
  </si>
  <si>
    <t xml:space="preserve">MG FIX 20X1                   </t>
  </si>
  <si>
    <t xml:space="preserve">BORCI0001      </t>
  </si>
  <si>
    <t xml:space="preserve">GRAP BORIC CIABAY 12X1        </t>
  </si>
  <si>
    <t xml:space="preserve">30KNI1000      </t>
  </si>
  <si>
    <t xml:space="preserve">KFIX 1000X1                   </t>
  </si>
  <si>
    <t xml:space="preserve">065GR0001      </t>
  </si>
  <si>
    <t xml:space="preserve">GRAP COBRE 12X1               </t>
  </si>
  <si>
    <t xml:space="preserve">065GR0050      </t>
  </si>
  <si>
    <t xml:space="preserve">GRAP COBRE 50X1               </t>
  </si>
  <si>
    <t xml:space="preserve">101GR0050      </t>
  </si>
  <si>
    <t xml:space="preserve">GRAP 101 CAB 50X1             </t>
  </si>
  <si>
    <t xml:space="preserve">101PR0020      </t>
  </si>
  <si>
    <t xml:space="preserve">NUTRICROP CAB-MAX 20X1        </t>
  </si>
  <si>
    <t xml:space="preserve">TPPAB0001      </t>
  </si>
  <si>
    <t>GRAP TOP FLUID A. BOLIVIA 12X1</t>
  </si>
  <si>
    <t xml:space="preserve">NITAB0020      </t>
  </si>
  <si>
    <t xml:space="preserve">GRAP NITRO A. BOLIVIA 20X1    </t>
  </si>
  <si>
    <t xml:space="preserve">114RZ0020      </t>
  </si>
  <si>
    <t xml:space="preserve">RIZO MICRO 10/1,4 - 20X1      </t>
  </si>
  <si>
    <t xml:space="preserve">140MA0005      </t>
  </si>
  <si>
    <t xml:space="preserve">MANGFIX MATRISOJA 4X5         </t>
  </si>
  <si>
    <t xml:space="preserve">147FF0020      </t>
  </si>
  <si>
    <t xml:space="preserve">FF CAB-14 20X1                </t>
  </si>
  <si>
    <t xml:space="preserve">M15GR0005      </t>
  </si>
  <si>
    <t xml:space="preserve">GRAP MONT 15 4X5              </t>
  </si>
  <si>
    <t xml:space="preserve">M15GR0020      </t>
  </si>
  <si>
    <t xml:space="preserve">GRAP MONT 15 20X1             </t>
  </si>
  <si>
    <t xml:space="preserve">MAGGR0005      </t>
  </si>
  <si>
    <t xml:space="preserve">GRAP MAGNESIO 4X5             </t>
  </si>
  <si>
    <t xml:space="preserve">MNGNI0005      </t>
  </si>
  <si>
    <t xml:space="preserve">COMPLEFIX 50 4X5              </t>
  </si>
  <si>
    <t xml:space="preserve">044GR0040      </t>
  </si>
  <si>
    <t xml:space="preserve">GRAP RF 44                    </t>
  </si>
  <si>
    <t xml:space="preserve">065NI0050      </t>
  </si>
  <si>
    <t xml:space="preserve">100GR0005      </t>
  </si>
  <si>
    <t xml:space="preserve">GRAP 100 FLUID 4X5            </t>
  </si>
  <si>
    <t xml:space="preserve">102GR0001      </t>
  </si>
  <si>
    <t xml:space="preserve">GRAP 102 CAB 12X1             </t>
  </si>
  <si>
    <t xml:space="preserve">10RGR0005      </t>
  </si>
  <si>
    <t xml:space="preserve">GRAP MANGANES RR 4X5          </t>
  </si>
  <si>
    <t xml:space="preserve">PR-05046 10076-9 </t>
  </si>
  <si>
    <t xml:space="preserve">10RGR0050      </t>
  </si>
  <si>
    <t xml:space="preserve">GRAP MANGANES RR 50X1         </t>
  </si>
  <si>
    <t xml:space="preserve">147NI0050      </t>
  </si>
  <si>
    <t xml:space="preserve">CABFIX 50X1                   </t>
  </si>
  <si>
    <t xml:space="preserve">165GR0005      </t>
  </si>
  <si>
    <t xml:space="preserve">GRAP 165 JE 4X5               </t>
  </si>
  <si>
    <t xml:space="preserve">306CI0005      </t>
  </si>
  <si>
    <t xml:space="preserve">GRAP P306 CIABAY 4X5          </t>
  </si>
  <si>
    <t xml:space="preserve">306CI0020      </t>
  </si>
  <si>
    <t xml:space="preserve">GRAP P306 CIABAY 20X1         </t>
  </si>
  <si>
    <t xml:space="preserve">306NI0005      </t>
  </si>
  <si>
    <t xml:space="preserve">NEUTRAFIX 4X5                 </t>
  </si>
  <si>
    <t xml:space="preserve">AMXGR0001      </t>
  </si>
  <si>
    <t xml:space="preserve">GRAP AMYNO MIX 12X1           </t>
  </si>
  <si>
    <t xml:space="preserve">AMXGR0020      </t>
  </si>
  <si>
    <t xml:space="preserve">GRAP AMYNO MIX 20X1           </t>
  </si>
  <si>
    <t xml:space="preserve">ENXNI0020      </t>
  </si>
  <si>
    <t xml:space="preserve">ENXOFREFIX 20X1               </t>
  </si>
  <si>
    <t xml:space="preserve">NITMA0020      </t>
  </si>
  <si>
    <t xml:space="preserve">NFIX MATRISOJA 20X1           </t>
  </si>
  <si>
    <t xml:space="preserve">NITNI0001      </t>
  </si>
  <si>
    <t xml:space="preserve">NFIX 12X1                     </t>
  </si>
  <si>
    <t xml:space="preserve">OILGR0050      </t>
  </si>
  <si>
    <t xml:space="preserve">GRAP OIL 50X1                 </t>
  </si>
  <si>
    <t xml:space="preserve">PHIGR0005      </t>
  </si>
  <si>
    <t xml:space="preserve">GRAP PHIL FOSFITO 4X5         </t>
  </si>
  <si>
    <t>PR-05046 10090-4</t>
  </si>
  <si>
    <t xml:space="preserve">SMNAG0025      </t>
  </si>
  <si>
    <t xml:space="preserve">SULFATO DE MANGANES 25KG      </t>
  </si>
  <si>
    <t xml:space="preserve">TNTSF0005      </t>
  </si>
  <si>
    <t xml:space="preserve">TENSOR PLUS NUTRI TOP 4X5     </t>
  </si>
  <si>
    <t xml:space="preserve">TOPGR0001      </t>
  </si>
  <si>
    <t xml:space="preserve">GRAP TOP FLUID 12X1           </t>
  </si>
  <si>
    <t xml:space="preserve">TOPPR0020      </t>
  </si>
  <si>
    <t xml:space="preserve">NUTRICROP COMPLE MAX 20X1     </t>
  </si>
  <si>
    <t xml:space="preserve">TPPGR0001      </t>
  </si>
  <si>
    <t xml:space="preserve">GRAP TOP FLUID PLUS 12X1      </t>
  </si>
  <si>
    <t xml:space="preserve">PHIBE1000      </t>
  </si>
  <si>
    <t>FOSPOFIX FOSFITO BECKER 1000X1</t>
  </si>
  <si>
    <t xml:space="preserve">GORGR0050      </t>
  </si>
  <si>
    <t xml:space="preserve">GRAP ORGANO N 50X1            </t>
  </si>
  <si>
    <t>PR- 9392310075-0</t>
  </si>
  <si>
    <t xml:space="preserve">ISTGR0120      </t>
  </si>
  <si>
    <t xml:space="preserve">INOC. GRAP NOD + 120 DS       </t>
  </si>
  <si>
    <t xml:space="preserve">M27NI0001      </t>
  </si>
  <si>
    <t xml:space="preserve">COMPLEFIX 12X1                </t>
  </si>
  <si>
    <t xml:space="preserve">M27RZ0005      </t>
  </si>
  <si>
    <t xml:space="preserve">RIZO COMPLEX II 4X5           </t>
  </si>
  <si>
    <t xml:space="preserve">MNGNI0001      </t>
  </si>
  <si>
    <t xml:space="preserve">COMPLEFIX 50 12X1             </t>
  </si>
  <si>
    <t xml:space="preserve">MNGRZ0001      </t>
  </si>
  <si>
    <t xml:space="preserve">RIZO COMPLEX 12X1             </t>
  </si>
  <si>
    <t xml:space="preserve">NITCI0050      </t>
  </si>
  <si>
    <t xml:space="preserve">GRAP NITRO CIABAY 50X1        </t>
  </si>
  <si>
    <t xml:space="preserve">NITPR0050      </t>
  </si>
  <si>
    <t xml:space="preserve">NUTRICROP NITRO MAX 50X1      </t>
  </si>
  <si>
    <t xml:space="preserve">SGUCI0005      </t>
  </si>
  <si>
    <t xml:space="preserve">GRAP SUPER GUN CIABAY 4X5     </t>
  </si>
  <si>
    <t xml:space="preserve">SGUPR0005      </t>
  </si>
  <si>
    <t xml:space="preserve">NUTRICROP TURBO MAX 4X5       </t>
  </si>
  <si>
    <t xml:space="preserve">TMASF0020      </t>
  </si>
  <si>
    <t xml:space="preserve">TENSOR MAX 20X1               </t>
  </si>
  <si>
    <t xml:space="preserve">TOPBU0005      </t>
  </si>
  <si>
    <t xml:space="preserve">TOP GREEN FLUID 4X5           </t>
  </si>
  <si>
    <t xml:space="preserve">NITGR0030      </t>
  </si>
  <si>
    <t xml:space="preserve">GRAP NITRO 30X1               </t>
  </si>
  <si>
    <t xml:space="preserve">07RGR0030      </t>
  </si>
  <si>
    <t xml:space="preserve">GRAP MANGANES RR PLUS 30X1    </t>
  </si>
  <si>
    <t xml:space="preserve">140GR0030      </t>
  </si>
  <si>
    <t xml:space="preserve">GRAP 140 FLUID 30X1           </t>
  </si>
  <si>
    <t xml:space="preserve">A15GR0050      </t>
  </si>
  <si>
    <t xml:space="preserve">GRAP AMYNO 15 50X1            </t>
  </si>
  <si>
    <t xml:space="preserve">10RCI0050      </t>
  </si>
  <si>
    <t xml:space="preserve">GRAP MANGANES RR CIABAY 50X1  </t>
  </si>
  <si>
    <t xml:space="preserve">110GR0001      </t>
  </si>
  <si>
    <t xml:space="preserve">GRAP 110 JE 12X1              </t>
  </si>
  <si>
    <t xml:space="preserve">150GR0001      </t>
  </si>
  <si>
    <t xml:space="preserve">GRAP 150 12X1                 </t>
  </si>
  <si>
    <t xml:space="preserve">150GR0020      </t>
  </si>
  <si>
    <t xml:space="preserve">GRAP 150 20X1                 </t>
  </si>
  <si>
    <t xml:space="preserve">15MGR0001      </t>
  </si>
  <si>
    <t xml:space="preserve">GRAP 15 MOL 12X1              </t>
  </si>
  <si>
    <t xml:space="preserve">165GR0020      </t>
  </si>
  <si>
    <t xml:space="preserve">GRAP 165 JE 20X1              </t>
  </si>
  <si>
    <t xml:space="preserve">180GR0001      </t>
  </si>
  <si>
    <t xml:space="preserve">GRAP 180 JE 12X1              </t>
  </si>
  <si>
    <t xml:space="preserve">306GR0001      </t>
  </si>
  <si>
    <t xml:space="preserve">GRAP P306 12X1                </t>
  </si>
  <si>
    <t xml:space="preserve">306NI0001      </t>
  </si>
  <si>
    <t xml:space="preserve">NEUTRAFIX 12X1                </t>
  </si>
  <si>
    <t xml:space="preserve">ISLCI0080      </t>
  </si>
  <si>
    <t xml:space="preserve">INOC. GRAP NOD L CIABAY 80 DS </t>
  </si>
  <si>
    <t>PR-08378 10063-2</t>
  </si>
  <si>
    <t xml:space="preserve">ISLGR0080      </t>
  </si>
  <si>
    <t xml:space="preserve">INOC. GRAP NOD L 80 DS        </t>
  </si>
  <si>
    <t xml:space="preserve">ISTCI0240      </t>
  </si>
  <si>
    <t>INOC. GRAP NOD + CIABAY 240 DS</t>
  </si>
  <si>
    <t xml:space="preserve">NITBU0020      </t>
  </si>
  <si>
    <t xml:space="preserve">TOP GREEN N 20X1              </t>
  </si>
  <si>
    <t xml:space="preserve">NITCI0020      </t>
  </si>
  <si>
    <t xml:space="preserve">GRAP NITRO CIABAY 20X1        </t>
  </si>
  <si>
    <t xml:space="preserve">NITGR1000      </t>
  </si>
  <si>
    <t xml:space="preserve">GRAP NITRO 1000X1             </t>
  </si>
  <si>
    <t xml:space="preserve">SGUCI0001      </t>
  </si>
  <si>
    <t xml:space="preserve">GRAP SUPER GUN CIABAY 12X1    </t>
  </si>
  <si>
    <t xml:space="preserve">SGUPR0001      </t>
  </si>
  <si>
    <t xml:space="preserve">NUTRICROP TURBO MAX 12X1      </t>
  </si>
  <si>
    <t xml:space="preserve">SSRCI0001      </t>
  </si>
  <si>
    <t xml:space="preserve">GRAP SUPER GUN SR CIABAY 12X1 </t>
  </si>
  <si>
    <t xml:space="preserve">10RNI0050      </t>
  </si>
  <si>
    <t xml:space="preserve">MANGFIX RR 50X1               </t>
  </si>
  <si>
    <t xml:space="preserve">100GR0030      </t>
  </si>
  <si>
    <t xml:space="preserve">GRAP 100 FLUID 30X1           </t>
  </si>
  <si>
    <t xml:space="preserve">DYNSF0005      </t>
  </si>
  <si>
    <t xml:space="preserve">DYN PLUS 4X5                  </t>
  </si>
  <si>
    <t xml:space="preserve">EXTNI0240      </t>
  </si>
  <si>
    <t xml:space="preserve">EXTENDER 8X30 DS              </t>
  </si>
  <si>
    <t xml:space="preserve">MNGBE0020      </t>
  </si>
  <si>
    <t xml:space="preserve">COMPLEFIX 50 BECKER 20X1      </t>
  </si>
  <si>
    <t xml:space="preserve">FSMBY0005      </t>
  </si>
  <si>
    <t xml:space="preserve">FUNGICIDA SPHERE MAX 4X5      </t>
  </si>
  <si>
    <t xml:space="preserve">CAFGR0005      </t>
  </si>
  <si>
    <t xml:space="preserve">GRAP CAFE 4X5                 </t>
  </si>
  <si>
    <t xml:space="preserve">ISTAZ0120      </t>
  </si>
  <si>
    <t>INOC. TOTALNITRO SOJA 120 DS T</t>
  </si>
  <si>
    <t xml:space="preserve">ISLGR0120      </t>
  </si>
  <si>
    <t xml:space="preserve">INOC. GRAP NOD L 120 DS       </t>
  </si>
  <si>
    <t xml:space="preserve">M27NI0005      </t>
  </si>
  <si>
    <t xml:space="preserve">COMPLEFIX 4X5                 </t>
  </si>
  <si>
    <t xml:space="preserve">M27NI0050      </t>
  </si>
  <si>
    <t xml:space="preserve">COMPLEFIX 50X1                </t>
  </si>
  <si>
    <t xml:space="preserve">MNGRZ0005      </t>
  </si>
  <si>
    <t xml:space="preserve">RIZO COMPLEX 4X5              </t>
  </si>
  <si>
    <t xml:space="preserve">MNGRZ0020      </t>
  </si>
  <si>
    <t xml:space="preserve">RIZO COMPLEX 20X1             </t>
  </si>
  <si>
    <t>PR-05046 10092-1</t>
  </si>
  <si>
    <t xml:space="preserve">NPRAG0050      </t>
  </si>
  <si>
    <t xml:space="preserve">NITRATO DE POTASSIO 50KG      </t>
  </si>
  <si>
    <t xml:space="preserve">145GR0005      </t>
  </si>
  <si>
    <t xml:space="preserve">GRAP CALCIO 4X5               </t>
  </si>
  <si>
    <t xml:space="preserve">PHICI0020      </t>
  </si>
  <si>
    <t xml:space="preserve">GRAP PHIL FOSFITO CIABAY 20X1 </t>
  </si>
  <si>
    <t xml:space="preserve">M16GR0005      </t>
  </si>
  <si>
    <t xml:space="preserve">GRAP MONT 16 4X5              </t>
  </si>
  <si>
    <t xml:space="preserve">102NI0001      </t>
  </si>
  <si>
    <t xml:space="preserve">CABFIX 2 12X1                 </t>
  </si>
  <si>
    <t xml:space="preserve">180GR0030      </t>
  </si>
  <si>
    <t xml:space="preserve">GRAP 180 JE 30X1              </t>
  </si>
  <si>
    <t xml:space="preserve">306BE0020      </t>
  </si>
  <si>
    <t xml:space="preserve">NEUTRAFIX BECKER 20X1         </t>
  </si>
  <si>
    <t>PR-05046 10113-7</t>
  </si>
  <si>
    <t xml:space="preserve">NISBE0050      </t>
  </si>
  <si>
    <t xml:space="preserve">GENOFIX S 50X1                </t>
  </si>
  <si>
    <t xml:space="preserve">M16PR0001      </t>
  </si>
  <si>
    <t xml:space="preserve">NUTRICROP MILHO MAX 12X1      </t>
  </si>
  <si>
    <t xml:space="preserve">NITNI1000      </t>
  </si>
  <si>
    <t xml:space="preserve">NFIX 1000X1                   </t>
  </si>
  <si>
    <t xml:space="preserve">102CI0001      </t>
  </si>
  <si>
    <t xml:space="preserve">GRAP 102 CAB CIABAY 12X1      </t>
  </si>
  <si>
    <t xml:space="preserve">102BU0005      </t>
  </si>
  <si>
    <t xml:space="preserve">TOP GREEN CAB II 4X5          </t>
  </si>
  <si>
    <t xml:space="preserve">IGLGR0080      </t>
  </si>
  <si>
    <t xml:space="preserve">INOC. GRAP NOD A 80 DS        </t>
  </si>
  <si>
    <t xml:space="preserve">AMXCI0020      </t>
  </si>
  <si>
    <t xml:space="preserve">GRAP AMYNO MIX CIABAY 20X1    </t>
  </si>
  <si>
    <t>PR-05046 10131-5</t>
  </si>
  <si>
    <t xml:space="preserve">MGSUS0001      </t>
  </si>
  <si>
    <t xml:space="preserve">GRAP MG 2,5 S USA 12X1        </t>
  </si>
  <si>
    <t>PR-05046 10130-7</t>
  </si>
  <si>
    <t xml:space="preserve">MNSUS0001      </t>
  </si>
  <si>
    <t xml:space="preserve">GRAP 100 S FLUID USA 12X1     </t>
  </si>
  <si>
    <t xml:space="preserve">101BU0020      </t>
  </si>
  <si>
    <t xml:space="preserve">TOP GREEN CAB 20X1            </t>
  </si>
  <si>
    <t xml:space="preserve">101PR0005      </t>
  </si>
  <si>
    <t xml:space="preserve">NUTRICROP CAB-MAX 4X5         </t>
  </si>
  <si>
    <t xml:space="preserve">PR-05046 10006-8 </t>
  </si>
  <si>
    <t xml:space="preserve">102BU0020      </t>
  </si>
  <si>
    <t xml:space="preserve">TOP GREEN CAB II 20X1         </t>
  </si>
  <si>
    <t xml:space="preserve">102CI0020      </t>
  </si>
  <si>
    <t xml:space="preserve">GRAP 102 CAB CIABAY 20X1      </t>
  </si>
  <si>
    <t xml:space="preserve">102MA0020      </t>
  </si>
  <si>
    <t xml:space="preserve">CABFIX 2 MATRISOJA 20X1       </t>
  </si>
  <si>
    <t xml:space="preserve">104BE0020      </t>
  </si>
  <si>
    <t xml:space="preserve">ZINCOFIX BECKER 20X1          </t>
  </si>
  <si>
    <t xml:space="preserve">10RGR0001      </t>
  </si>
  <si>
    <t xml:space="preserve">GRAP MANGANES RR 12X1         </t>
  </si>
  <si>
    <t xml:space="preserve">110NI0005      </t>
  </si>
  <si>
    <t xml:space="preserve">COMOFIX 10/1 4X5              </t>
  </si>
  <si>
    <t xml:space="preserve">140GR0020      </t>
  </si>
  <si>
    <t xml:space="preserve">GRAP 140 FLUID 20X1           </t>
  </si>
  <si>
    <t xml:space="preserve">104BU0005      </t>
  </si>
  <si>
    <t xml:space="preserve">TOP GREEN ZNS 4X5             </t>
  </si>
  <si>
    <t xml:space="preserve">104GR0001      </t>
  </si>
  <si>
    <t xml:space="preserve">GRAP 104 FLUID 12X1           </t>
  </si>
  <si>
    <t xml:space="preserve">104NI0050      </t>
  </si>
  <si>
    <t xml:space="preserve">ZINCOFIX 50X1                 </t>
  </si>
  <si>
    <t xml:space="preserve">10RCI0020      </t>
  </si>
  <si>
    <t xml:space="preserve">GRAP MANGANES RR CIABAY 20X1  </t>
  </si>
  <si>
    <t xml:space="preserve">110CI0005      </t>
  </si>
  <si>
    <t xml:space="preserve">GRAP 110 JE CIABAY 4X5        </t>
  </si>
  <si>
    <t xml:space="preserve">110NI0001      </t>
  </si>
  <si>
    <t xml:space="preserve">COMOFIX 10/1 12X1             </t>
  </si>
  <si>
    <t xml:space="preserve">110NI0020      </t>
  </si>
  <si>
    <t xml:space="preserve">COMOFIX 10/1 20X1             </t>
  </si>
  <si>
    <t xml:space="preserve">140GR0001      </t>
  </si>
  <si>
    <t xml:space="preserve">GRAP 140 FLUID 12X1           </t>
  </si>
  <si>
    <t xml:space="preserve">140NI0050      </t>
  </si>
  <si>
    <t xml:space="preserve">MANGFIX 50X1                  </t>
  </si>
  <si>
    <t xml:space="preserve">147GR0005      </t>
  </si>
  <si>
    <t xml:space="preserve">GRAP 147 FLUID 4X5            </t>
  </si>
  <si>
    <t xml:space="preserve">147NI0005      </t>
  </si>
  <si>
    <t xml:space="preserve">CABFIX 4X5                    </t>
  </si>
  <si>
    <t xml:space="preserve">PR-05046 10078-5 </t>
  </si>
  <si>
    <t xml:space="preserve">252CI0030      </t>
  </si>
  <si>
    <t xml:space="preserve">GRAP MOCO BALDE CIABAY (3ODS) </t>
  </si>
  <si>
    <t xml:space="preserve">306GR0050      </t>
  </si>
  <si>
    <t xml:space="preserve">GRAP P306 50X1                </t>
  </si>
  <si>
    <t xml:space="preserve">BORBE0005      </t>
  </si>
  <si>
    <t xml:space="preserve">BOROFIX BECKER 4X5            </t>
  </si>
  <si>
    <t xml:space="preserve">BORCI0005      </t>
  </si>
  <si>
    <t xml:space="preserve">GRAP BORIC CIABAY 4X5         </t>
  </si>
  <si>
    <t xml:space="preserve">BORGR0050      </t>
  </si>
  <si>
    <t xml:space="preserve">GRAP BORIC 50X1               </t>
  </si>
  <si>
    <t xml:space="preserve">CANGR0020      </t>
  </si>
  <si>
    <t xml:space="preserve">GRAP CANA 20X1                </t>
  </si>
  <si>
    <t xml:space="preserve">ENXBU0005      </t>
  </si>
  <si>
    <t xml:space="preserve">TOP GREEN ENXOFRE 4X5         </t>
  </si>
  <si>
    <t xml:space="preserve">ENXGR0001      </t>
  </si>
  <si>
    <t xml:space="preserve">GRAP ENXOFRE 12X1             </t>
  </si>
  <si>
    <t xml:space="preserve">NGPGR0001      </t>
  </si>
  <si>
    <t xml:space="preserve">GRAP MONT NG PLUS 12X1        </t>
  </si>
  <si>
    <t xml:space="preserve">NGPGR0020      </t>
  </si>
  <si>
    <t xml:space="preserve">GRAP MONT NG PLUS 20X1        </t>
  </si>
  <si>
    <t xml:space="preserve">FERGR0001      </t>
  </si>
  <si>
    <t xml:space="preserve">GRAP FERRO 12X1               </t>
  </si>
  <si>
    <t xml:space="preserve">FRUGR0001      </t>
  </si>
  <si>
    <t xml:space="preserve">GRAP FRUTAS 12X1              </t>
  </si>
  <si>
    <t xml:space="preserve">GORGR0005      </t>
  </si>
  <si>
    <t xml:space="preserve">GRAP ORGANO N 4X5             </t>
  </si>
  <si>
    <t xml:space="preserve">07RGR0050      </t>
  </si>
  <si>
    <t xml:space="preserve">GRAP MANGANES RR PLUS 50X1    </t>
  </si>
  <si>
    <t xml:space="preserve">097NI0005      </t>
  </si>
  <si>
    <t xml:space="preserve">COMOFIX 11 4X5                </t>
  </si>
  <si>
    <t xml:space="preserve">097NI0050      </t>
  </si>
  <si>
    <t xml:space="preserve">COMOFIX 11 50X1               </t>
  </si>
  <si>
    <t xml:space="preserve">10RCI0005      </t>
  </si>
  <si>
    <t xml:space="preserve">GRAP MANGANES RR CIABAY 4X5   </t>
  </si>
  <si>
    <t xml:space="preserve">140FF0001      </t>
  </si>
  <si>
    <t xml:space="preserve">FF 14 MANGANES 12X1           </t>
  </si>
  <si>
    <t xml:space="preserve">140RZ0020      </t>
  </si>
  <si>
    <t xml:space="preserve">RIZO MANGANES 20X1            </t>
  </si>
  <si>
    <t xml:space="preserve">145GR0001      </t>
  </si>
  <si>
    <t xml:space="preserve">GRAP CALCIO 12X1              </t>
  </si>
  <si>
    <t xml:space="preserve">150GR0005      </t>
  </si>
  <si>
    <t xml:space="preserve">GRAP 150 4X5                  </t>
  </si>
  <si>
    <t xml:space="preserve">15MCI0020      </t>
  </si>
  <si>
    <t xml:space="preserve">GRAP 15 MOL CIABAY 20X1       </t>
  </si>
  <si>
    <t xml:space="preserve">CANAP0020      </t>
  </si>
  <si>
    <t xml:space="preserve">GRAP GRAM AGROPART. 20X1      </t>
  </si>
  <si>
    <t xml:space="preserve">PR-05046 10069-6 </t>
  </si>
  <si>
    <t xml:space="preserve">180GR0050      </t>
  </si>
  <si>
    <t xml:space="preserve">GRAP 180 JE 50X1              </t>
  </si>
  <si>
    <t xml:space="preserve">306BU0005      </t>
  </si>
  <si>
    <t xml:space="preserve">TOP GREEN P306 4X5            </t>
  </si>
  <si>
    <t xml:space="preserve">306BU0020      </t>
  </si>
  <si>
    <t xml:space="preserve">TOP GREEN P306 20X1           </t>
  </si>
  <si>
    <t xml:space="preserve">FERUS0001      </t>
  </si>
  <si>
    <t xml:space="preserve">GRAP IRON USA 12X1            </t>
  </si>
  <si>
    <t xml:space="preserve">100NI0001      </t>
  </si>
  <si>
    <t xml:space="preserve">MANGFIX 10 12X1               </t>
  </si>
  <si>
    <t>PR-05046 10120-0</t>
  </si>
  <si>
    <t xml:space="preserve">CCANI0020      </t>
  </si>
  <si>
    <t xml:space="preserve">COMPLEFIX CAFE 20X1           </t>
  </si>
  <si>
    <t xml:space="preserve">FRUGR0050      </t>
  </si>
  <si>
    <t xml:space="preserve">GRAP FRUTAS 50X1              </t>
  </si>
  <si>
    <t xml:space="preserve">NISBE0020      </t>
  </si>
  <si>
    <t xml:space="preserve">GENOFIX S 20X1                </t>
  </si>
  <si>
    <t xml:space="preserve">BORFF0020      </t>
  </si>
  <si>
    <t xml:space="preserve">FF 10 BORO 20X1               </t>
  </si>
  <si>
    <t xml:space="preserve">ENXBU0050      </t>
  </si>
  <si>
    <t xml:space="preserve">TOP GREEN ENXOFRE 50X1        </t>
  </si>
  <si>
    <t xml:space="preserve">M15NI1000      </t>
  </si>
  <si>
    <t xml:space="preserve">COMPLEFIX S 1000X1            </t>
  </si>
  <si>
    <t xml:space="preserve">FERGR0005      </t>
  </si>
  <si>
    <t xml:space="preserve">GRAP FERRO 4X5                </t>
  </si>
  <si>
    <t xml:space="preserve">100NI0020      </t>
  </si>
  <si>
    <t xml:space="preserve">MANGFIX 10 20X1               </t>
  </si>
  <si>
    <t xml:space="preserve">LVDGA0010      </t>
  </si>
  <si>
    <t xml:space="preserve">GRAP LASCAS VERDE 10KG        </t>
  </si>
  <si>
    <t xml:space="preserve">PHINI0001      </t>
  </si>
  <si>
    <t xml:space="preserve">FOSPOFIX FOSFITO 12X1         </t>
  </si>
  <si>
    <t xml:space="preserve">AMXPR0001      </t>
  </si>
  <si>
    <t xml:space="preserve">NUTRICROP AMY MAX 12X1        </t>
  </si>
  <si>
    <t xml:space="preserve">CAFGR0050      </t>
  </si>
  <si>
    <t xml:space="preserve">GRAP CAFE 50X1                </t>
  </si>
  <si>
    <t xml:space="preserve">PHIBE0020      </t>
  </si>
  <si>
    <t xml:space="preserve">FOSPOFIX FOSFITO BECKER 20X1  </t>
  </si>
  <si>
    <t xml:space="preserve">PHIBE0050      </t>
  </si>
  <si>
    <t xml:space="preserve">FOSPOFIX FOSFITO BECKER 50X1  </t>
  </si>
  <si>
    <t xml:space="preserve">OILCI0005      </t>
  </si>
  <si>
    <t xml:space="preserve">GRAP OIL CIABAY 4X5           </t>
  </si>
  <si>
    <t xml:space="preserve">15MCI0001      </t>
  </si>
  <si>
    <t xml:space="preserve">GRAP 15 MOL CIABAY 12X1       </t>
  </si>
  <si>
    <t xml:space="preserve">180GR1000      </t>
  </si>
  <si>
    <t xml:space="preserve">GRAP 180 JE 1000X1            </t>
  </si>
  <si>
    <t>PR-05046 10129-3</t>
  </si>
  <si>
    <t xml:space="preserve">MNCUS0001      </t>
  </si>
  <si>
    <t xml:space="preserve">GRAP 100 FLUID USA 12X1       </t>
  </si>
  <si>
    <t xml:space="preserve">100GR0020      </t>
  </si>
  <si>
    <t xml:space="preserve">GRAP 100 FLUID 20X1           </t>
  </si>
  <si>
    <t xml:space="preserve">100GR0050      </t>
  </si>
  <si>
    <t xml:space="preserve">GRAP 100 FLUID 50X1           </t>
  </si>
  <si>
    <t xml:space="preserve">101BU0001      </t>
  </si>
  <si>
    <t xml:space="preserve">TOP GREEN CAB 12X1            </t>
  </si>
  <si>
    <t xml:space="preserve">102GR0050      </t>
  </si>
  <si>
    <t xml:space="preserve">GRAP 102 CAB 50X1             </t>
  </si>
  <si>
    <t xml:space="preserve">104BE0005      </t>
  </si>
  <si>
    <t xml:space="preserve">ZINCOFIX BECKER 4X5           </t>
  </si>
  <si>
    <t xml:space="preserve">104FF0020      </t>
  </si>
  <si>
    <t xml:space="preserve">FF Z 10 20X1                  </t>
  </si>
  <si>
    <t xml:space="preserve">104NI0020      </t>
  </si>
  <si>
    <t xml:space="preserve">ZINCOFIX 20X1                 </t>
  </si>
  <si>
    <t xml:space="preserve">10RNI0001      </t>
  </si>
  <si>
    <t xml:space="preserve">MANGFIX RR 12X1               </t>
  </si>
  <si>
    <t xml:space="preserve">10RNI0020      </t>
  </si>
  <si>
    <t xml:space="preserve">MANGFIX RR 20X1               </t>
  </si>
  <si>
    <t xml:space="preserve">104CI0001      </t>
  </si>
  <si>
    <t xml:space="preserve">GRAP 104 FLUID CIABAY 12X1    </t>
  </si>
  <si>
    <t xml:space="preserve">15TNI0001      </t>
  </si>
  <si>
    <t xml:space="preserve">COMOFIX 15TS 12X1             </t>
  </si>
  <si>
    <t xml:space="preserve">165BU0001      </t>
  </si>
  <si>
    <t xml:space="preserve">TOP GREEN COMO 12X1           </t>
  </si>
  <si>
    <t xml:space="preserve">165PR0001      </t>
  </si>
  <si>
    <t xml:space="preserve">NUTRICROP COMO MAX 12X1       </t>
  </si>
  <si>
    <t>PR-05046 10078-5</t>
  </si>
  <si>
    <t xml:space="preserve">252GR0030      </t>
  </si>
  <si>
    <t xml:space="preserve">GRAP MOCO BALDE (3ODS)        </t>
  </si>
  <si>
    <t xml:space="preserve">252GR0040      </t>
  </si>
  <si>
    <t xml:space="preserve">GRAP MOCO                     </t>
  </si>
  <si>
    <t xml:space="preserve">252NI0020      </t>
  </si>
  <si>
    <t xml:space="preserve">LEGUMOL 25 TS                 </t>
  </si>
  <si>
    <t xml:space="preserve">306GR0005      </t>
  </si>
  <si>
    <t xml:space="preserve">GRAP P306 4X5                 </t>
  </si>
  <si>
    <t xml:space="preserve">30KCI0020      </t>
  </si>
  <si>
    <t xml:space="preserve">GRAP 30K CIABAY 20X1          </t>
  </si>
  <si>
    <t xml:space="preserve">30KGR0001      </t>
  </si>
  <si>
    <t xml:space="preserve">GRAP 30K 12X1                 </t>
  </si>
  <si>
    <t xml:space="preserve">30KGR0020      </t>
  </si>
  <si>
    <t xml:space="preserve">GRAP 30K 20X1                 </t>
  </si>
  <si>
    <t xml:space="preserve">AMNGR0005      </t>
  </si>
  <si>
    <t xml:space="preserve">GRAP AMYNO N 4X5              </t>
  </si>
  <si>
    <t xml:space="preserve">BORMA0005      </t>
  </si>
  <si>
    <t xml:space="preserve">BOROFIX MATRISOJA 4X5         </t>
  </si>
  <si>
    <t xml:space="preserve">CANGR0005      </t>
  </si>
  <si>
    <t xml:space="preserve">GRAP CANA 4X5                 </t>
  </si>
  <si>
    <t xml:space="preserve">M15RZ0020      </t>
  </si>
  <si>
    <t xml:space="preserve">RIZO MASTER 20X1              </t>
  </si>
  <si>
    <t xml:space="preserve">M16GR0020      </t>
  </si>
  <si>
    <t xml:space="preserve">GRAP MONT 16 20X1             </t>
  </si>
  <si>
    <t xml:space="preserve">M23GR0050      </t>
  </si>
  <si>
    <t xml:space="preserve">GRAP MONT 23 50X1             </t>
  </si>
  <si>
    <t xml:space="preserve">NITGR0005      </t>
  </si>
  <si>
    <t xml:space="preserve">GRAP NITRO 4X5                </t>
  </si>
  <si>
    <t xml:space="preserve">SENGR0005      </t>
  </si>
  <si>
    <t xml:space="preserve">GRAP SENSOR 4X5               </t>
  </si>
  <si>
    <t xml:space="preserve">07RCI0020      </t>
  </si>
  <si>
    <t xml:space="preserve">GRAP MN RR PLUS CIABAY 20X1   </t>
  </si>
  <si>
    <t xml:space="preserve">07RGR0005      </t>
  </si>
  <si>
    <t xml:space="preserve">GRAP MANGANES RR PLUS 4X5     </t>
  </si>
  <si>
    <t xml:space="preserve">097GR0050      </t>
  </si>
  <si>
    <t xml:space="preserve">GRAP COMO 11 50X1             </t>
  </si>
  <si>
    <t xml:space="preserve">102BU0001      </t>
  </si>
  <si>
    <t xml:space="preserve">TOP GREEN CAB II 12X1         </t>
  </si>
  <si>
    <t xml:space="preserve">102CI0005      </t>
  </si>
  <si>
    <t xml:space="preserve">GRAP 102 CAB CIABAY 4X5       </t>
  </si>
  <si>
    <t xml:space="preserve">104RZ0020      </t>
  </si>
  <si>
    <t xml:space="preserve">RIZO ZINCO 20X1               </t>
  </si>
  <si>
    <t xml:space="preserve">10RCI0001      </t>
  </si>
  <si>
    <t xml:space="preserve">GRAP MANGANES RR CIABAY 12X1  </t>
  </si>
  <si>
    <t xml:space="preserve">140RZ0001      </t>
  </si>
  <si>
    <t xml:space="preserve">RIZO MANGANES 12X1            </t>
  </si>
  <si>
    <t xml:space="preserve">145GR0050      </t>
  </si>
  <si>
    <t xml:space="preserve">GRAP CALCIO 50X1              </t>
  </si>
  <si>
    <t xml:space="preserve">141GR0020      </t>
  </si>
  <si>
    <t xml:space="preserve">GRAP 14.11 FLUID 20X1         </t>
  </si>
  <si>
    <t xml:space="preserve">147GR0050      </t>
  </si>
  <si>
    <t xml:space="preserve">GRAP 147 FLUID 50X1           </t>
  </si>
  <si>
    <t xml:space="preserve">147NI0001      </t>
  </si>
  <si>
    <t xml:space="preserve">CABFIX 12X1                   </t>
  </si>
  <si>
    <t xml:space="preserve">15MCI0005      </t>
  </si>
  <si>
    <t xml:space="preserve">GRAP 15 MOL CIABAY 4X5        </t>
  </si>
  <si>
    <t xml:space="preserve">140CI0001      </t>
  </si>
  <si>
    <t xml:space="preserve">GRAP 140 FLUID CIABAY 12X1    </t>
  </si>
  <si>
    <t xml:space="preserve">065CI0001      </t>
  </si>
  <si>
    <t xml:space="preserve">GRAP COBRE CIABAY 12X1        </t>
  </si>
  <si>
    <t xml:space="preserve">M16CI0001      </t>
  </si>
  <si>
    <t xml:space="preserve">GRAP MONT 16 CIABAY 12X1      </t>
  </si>
  <si>
    <t xml:space="preserve">165PR0005      </t>
  </si>
  <si>
    <t xml:space="preserve">NUTRICROP COMO MAX 4X5        </t>
  </si>
  <si>
    <t xml:space="preserve">306BE0005      </t>
  </si>
  <si>
    <t xml:space="preserve">NEUTRAFIX BECKER 4X5          </t>
  </si>
  <si>
    <t xml:space="preserve">306GR0020      </t>
  </si>
  <si>
    <t xml:space="preserve">GRAP P306 20X1                </t>
  </si>
  <si>
    <t xml:space="preserve">TOPCI0001      </t>
  </si>
  <si>
    <t xml:space="preserve">GRAP TOP FLUID CIABAY 12X1    </t>
  </si>
  <si>
    <t xml:space="preserve">SGUAK0001      </t>
  </si>
  <si>
    <t xml:space="preserve">SHOT GUN AKTRA 12X1           </t>
  </si>
  <si>
    <t xml:space="preserve">SGUCI0020      </t>
  </si>
  <si>
    <t xml:space="preserve">GRAP SUPER GUN CIABAY 20X1    </t>
  </si>
  <si>
    <t xml:space="preserve">30KGR0005      </t>
  </si>
  <si>
    <t xml:space="preserve">GRAP 30K 4X5                  </t>
  </si>
  <si>
    <t xml:space="preserve">AILNI0240      </t>
  </si>
  <si>
    <t xml:space="preserve">ADITIVO EXTENDER 240 DS       </t>
  </si>
  <si>
    <t xml:space="preserve">BORNI0001      </t>
  </si>
  <si>
    <t xml:space="preserve">BOROFIX 12X1                  </t>
  </si>
  <si>
    <t xml:space="preserve">F42GR0020      </t>
  </si>
  <si>
    <t xml:space="preserve">GRAP FOSFORICO 30 KG          </t>
  </si>
  <si>
    <t xml:space="preserve">JARGA0025      </t>
  </si>
  <si>
    <t xml:space="preserve">GRAP GARDEN JARDINS 25KG      </t>
  </si>
  <si>
    <t xml:space="preserve">LVEGA0002      </t>
  </si>
  <si>
    <t xml:space="preserve">GRAP LASCAS VERM. ESCURO 2KG  </t>
  </si>
  <si>
    <t xml:space="preserve">M15GR0050      </t>
  </si>
  <si>
    <t xml:space="preserve">GRAP MONT 15 50X1             </t>
  </si>
  <si>
    <t xml:space="preserve">M15MA0005      </t>
  </si>
  <si>
    <t xml:space="preserve">COMPLEFIX S MATRIJOSA 4X5     </t>
  </si>
  <si>
    <t xml:space="preserve">M15PR0020      </t>
  </si>
  <si>
    <t xml:space="preserve">NUTRICROP SOJA MAX 20X1       </t>
  </si>
  <si>
    <t xml:space="preserve">M27GR0050      </t>
  </si>
  <si>
    <t xml:space="preserve">GRAP MONT 27 50X1             </t>
  </si>
  <si>
    <t xml:space="preserve">MNGNI0050      </t>
  </si>
  <si>
    <t xml:space="preserve">COMPLEFIX 50 50X1             </t>
  </si>
  <si>
    <t xml:space="preserve">NGPGR0005      </t>
  </si>
  <si>
    <t xml:space="preserve">GRAP MONT NG PLUS 4X5         </t>
  </si>
  <si>
    <t xml:space="preserve">097NI0020      </t>
  </si>
  <si>
    <t xml:space="preserve">COMOFIX 11 20X1               </t>
  </si>
  <si>
    <t xml:space="preserve">097NI0001      </t>
  </si>
  <si>
    <t xml:space="preserve">COMOFIX 11 12X1               </t>
  </si>
  <si>
    <t xml:space="preserve">102BU0050      </t>
  </si>
  <si>
    <t xml:space="preserve">TOP GREEN CAB II 50X1         </t>
  </si>
  <si>
    <t xml:space="preserve">104BU0050      </t>
  </si>
  <si>
    <t xml:space="preserve">TOP GREEN ZNS 50X1            </t>
  </si>
  <si>
    <t xml:space="preserve">104RZ0005      </t>
  </si>
  <si>
    <t xml:space="preserve">RIZO ZINCO 4X5                </t>
  </si>
  <si>
    <t xml:space="preserve">140FF0005      </t>
  </si>
  <si>
    <t xml:space="preserve">FF 14 MANGANES 4X5            </t>
  </si>
  <si>
    <t xml:space="preserve">140FF0050      </t>
  </si>
  <si>
    <t xml:space="preserve">FF 14 MANGANES 50X1           </t>
  </si>
  <si>
    <t xml:space="preserve">140RZ0005      </t>
  </si>
  <si>
    <t xml:space="preserve">RIZO MANGANES 4X5             </t>
  </si>
  <si>
    <t>RS-12834 10009-0</t>
  </si>
  <si>
    <t xml:space="preserve">ISTSI0120      </t>
  </si>
  <si>
    <t>INOC. SIMBIOSE NOD SOJA 120 DS</t>
  </si>
  <si>
    <t xml:space="preserve">150NI0001      </t>
  </si>
  <si>
    <t xml:space="preserve">150NI0005      </t>
  </si>
  <si>
    <t xml:space="preserve">PR-05046 10056-4 </t>
  </si>
  <si>
    <t xml:space="preserve">145AP0020      </t>
  </si>
  <si>
    <t xml:space="preserve">GRAP CALCIO AGROPART. 20X1    </t>
  </si>
  <si>
    <t xml:space="preserve">NITAP0020      </t>
  </si>
  <si>
    <t xml:space="preserve">GRAP NITRO AGROPART. 20X1     </t>
  </si>
  <si>
    <t xml:space="preserve">165FF0001      </t>
  </si>
  <si>
    <t xml:space="preserve">FF COMO 12X1                  </t>
  </si>
  <si>
    <t xml:space="preserve">165FF0005      </t>
  </si>
  <si>
    <t xml:space="preserve">FF COMO 4X5                   </t>
  </si>
  <si>
    <t xml:space="preserve">165FF0020      </t>
  </si>
  <si>
    <t xml:space="preserve">FF COMO 20X1                  </t>
  </si>
  <si>
    <t xml:space="preserve">165GR0050      </t>
  </si>
  <si>
    <t xml:space="preserve">GRAP 165 JE 50X1              </t>
  </si>
  <si>
    <t xml:space="preserve">306BU0050      </t>
  </si>
  <si>
    <t xml:space="preserve">TOP GREEN P30 50X1            </t>
  </si>
  <si>
    <t xml:space="preserve">306CI0001      </t>
  </si>
  <si>
    <t xml:space="preserve">GRAP P306 CIABAY 12X1         </t>
  </si>
  <si>
    <t xml:space="preserve">306CI0050      </t>
  </si>
  <si>
    <t xml:space="preserve">GRAP P306 CIABAY 50X1         </t>
  </si>
  <si>
    <t>PR-05046 10125-1</t>
  </si>
  <si>
    <t xml:space="preserve">BORUS0001      </t>
  </si>
  <si>
    <t xml:space="preserve">GRAP BORIC USA 12X1           </t>
  </si>
  <si>
    <t xml:space="preserve">165FF0050      </t>
  </si>
  <si>
    <t xml:space="preserve">FF COMO 50X1                  </t>
  </si>
  <si>
    <t xml:space="preserve">306BU0001      </t>
  </si>
  <si>
    <t xml:space="preserve">TOP GREEN P30 12X1            </t>
  </si>
  <si>
    <t xml:space="preserve">71RUS0001      </t>
  </si>
  <si>
    <t xml:space="preserve">GRAP COMO ROOT USA 12X1       </t>
  </si>
  <si>
    <t xml:space="preserve">M15US0001      </t>
  </si>
  <si>
    <t xml:space="preserve">GRAP MONT 15 USA 12X1         </t>
  </si>
  <si>
    <t>PR-05046 10123-4</t>
  </si>
  <si>
    <t xml:space="preserve">ZNSUS0001      </t>
  </si>
  <si>
    <t xml:space="preserve">GRAP 104 S FLUID USA 12X1     </t>
  </si>
  <si>
    <t xml:space="preserve">AMXNI0005      </t>
  </si>
  <si>
    <t xml:space="preserve">MACROFIX 4X5                  </t>
  </si>
  <si>
    <t xml:space="preserve">AMXNI0020      </t>
  </si>
  <si>
    <t xml:space="preserve">MACROFIX 20X1                 </t>
  </si>
  <si>
    <t xml:space="preserve">71RCI0005      </t>
  </si>
  <si>
    <t xml:space="preserve">GRAP COMO RAIZ CIABAY 4X5     </t>
  </si>
  <si>
    <t xml:space="preserve">F42GR0030      </t>
  </si>
  <si>
    <t xml:space="preserve">GRAP FOSFORICO 45 KG          </t>
  </si>
  <si>
    <t xml:space="preserve">71RCI0001      </t>
  </si>
  <si>
    <t xml:space="preserve">GRAP COMO RAIZ CIABAY 12X1    </t>
  </si>
  <si>
    <t xml:space="preserve">CCANI0001      </t>
  </si>
  <si>
    <t xml:space="preserve">COMPLEFIX CAFE 12X1           </t>
  </si>
  <si>
    <t xml:space="preserve">PHIGR0030      </t>
  </si>
  <si>
    <t xml:space="preserve">GRAP PHIL FOSFITO 30X1        </t>
  </si>
  <si>
    <t xml:space="preserve">BORBU0001      </t>
  </si>
  <si>
    <t xml:space="preserve">TOP GREEN BOR 12X1            </t>
  </si>
  <si>
    <t xml:space="preserve">BORFF0001      </t>
  </si>
  <si>
    <t xml:space="preserve">FF 10 BORO 12X1               </t>
  </si>
  <si>
    <t xml:space="preserve">065GR0030      </t>
  </si>
  <si>
    <t xml:space="preserve">GRAP COBRE 30X1               </t>
  </si>
  <si>
    <t xml:space="preserve">ENXNI0001      </t>
  </si>
  <si>
    <t xml:space="preserve">ENXOFREFIX 12X1               </t>
  </si>
  <si>
    <t xml:space="preserve">ENXNI0050      </t>
  </si>
  <si>
    <t xml:space="preserve">ENXOFREFIX 50X1               </t>
  </si>
  <si>
    <t xml:space="preserve">M15PR0001      </t>
  </si>
  <si>
    <t xml:space="preserve">NUTRICROP SOJA MAX 12X1       </t>
  </si>
  <si>
    <t xml:space="preserve">140GR0200      </t>
  </si>
  <si>
    <t xml:space="preserve">GRAP 140 FLUID 200X1          </t>
  </si>
  <si>
    <t>PR-05046 10153-6</t>
  </si>
  <si>
    <t xml:space="preserve">K60AG0025      </t>
  </si>
  <si>
    <t xml:space="preserve">GRAP 60K 25 KG                </t>
  </si>
  <si>
    <t xml:space="preserve">ISTNI0060      </t>
  </si>
  <si>
    <t xml:space="preserve">INOC. ADHERE 60 DS            </t>
  </si>
  <si>
    <t xml:space="preserve">048CI0030      </t>
  </si>
  <si>
    <t xml:space="preserve">GRAP RF 48 CIABAY (BD 30 DS)  </t>
  </si>
  <si>
    <t xml:space="preserve">AMNGR0001      </t>
  </si>
  <si>
    <t xml:space="preserve">GRAP AMYNO N 12X1             </t>
  </si>
  <si>
    <t xml:space="preserve">AMXNI0001      </t>
  </si>
  <si>
    <t xml:space="preserve">MACROFIX 12X1                 </t>
  </si>
  <si>
    <t xml:space="preserve">FERGR0050      </t>
  </si>
  <si>
    <t xml:space="preserve">GRAP FERRO 50X1               </t>
  </si>
  <si>
    <t xml:space="preserve">104GR0030      </t>
  </si>
  <si>
    <t xml:space="preserve">GRAP 104 FLUID 30X1           </t>
  </si>
  <si>
    <t xml:space="preserve">M15GR0030      </t>
  </si>
  <si>
    <t xml:space="preserve">GRAP MONT 15 30X1             </t>
  </si>
  <si>
    <t xml:space="preserve">BORBU0050      </t>
  </si>
  <si>
    <t xml:space="preserve">TOP GREEN BOR 50X1            </t>
  </si>
  <si>
    <t xml:space="preserve">BORFF0005      </t>
  </si>
  <si>
    <t xml:space="preserve">FF 10 BORO 4X5                </t>
  </si>
  <si>
    <t xml:space="preserve">ENXNI0005      </t>
  </si>
  <si>
    <t xml:space="preserve">ENXOFREFIX 4X5                </t>
  </si>
  <si>
    <t xml:space="preserve">TOPBE0020      </t>
  </si>
  <si>
    <t xml:space="preserve">TOPFIX BECKER 20X1            </t>
  </si>
  <si>
    <t xml:space="preserve">PH4GR0001      </t>
  </si>
  <si>
    <t xml:space="preserve">GRAP PHIL 40/20 12X1          </t>
  </si>
  <si>
    <t xml:space="preserve">10RNI1000      </t>
  </si>
  <si>
    <t xml:space="preserve">MANGFIX RR 1000X1             </t>
  </si>
  <si>
    <t xml:space="preserve">140FF0020      </t>
  </si>
  <si>
    <t xml:space="preserve">FF 14 MANGANES 20X1           </t>
  </si>
  <si>
    <t xml:space="preserve">30KAP0020      </t>
  </si>
  <si>
    <t xml:space="preserve">GRAP 30K AGROPART. 20X1       </t>
  </si>
  <si>
    <t xml:space="preserve">BORAP0020      </t>
  </si>
  <si>
    <t xml:space="preserve">GRAP BORIC AGROPART. 20X1     </t>
  </si>
  <si>
    <t xml:space="preserve">165BU0050      </t>
  </si>
  <si>
    <t xml:space="preserve">TOP GREEN COMO 50X1           </t>
  </si>
  <si>
    <t xml:space="preserve">165CI0001      </t>
  </si>
  <si>
    <t xml:space="preserve">GRAP 165 JE CIABAY 12X1       </t>
  </si>
  <si>
    <t xml:space="preserve">AMNGR0050      </t>
  </si>
  <si>
    <t xml:space="preserve">GRAP AMYNO N 50X1             </t>
  </si>
  <si>
    <t xml:space="preserve">AMXGR0050      </t>
  </si>
  <si>
    <t xml:space="preserve">GRAP AMYNO MIX 50X1           </t>
  </si>
  <si>
    <t xml:space="preserve">CCANI0005      </t>
  </si>
  <si>
    <t xml:space="preserve">COMPLEFIX CAFE 4X5            </t>
  </si>
  <si>
    <t xml:space="preserve">CCANI0050      </t>
  </si>
  <si>
    <t xml:space="preserve">COMPLEFIX CAFE 50X1           </t>
  </si>
  <si>
    <t xml:space="preserve">MAGNI0001      </t>
  </si>
  <si>
    <t xml:space="preserve">MG FIX 12X1                   </t>
  </si>
  <si>
    <t xml:space="preserve">BORBU0005      </t>
  </si>
  <si>
    <t xml:space="preserve">TOP GREEN BOR 4X5             </t>
  </si>
  <si>
    <t xml:space="preserve">BORBU0020      </t>
  </si>
  <si>
    <t xml:space="preserve">TOP GREEN BOR 20X1            </t>
  </si>
  <si>
    <t xml:space="preserve">BORGR0030      </t>
  </si>
  <si>
    <t xml:space="preserve">GRAP BORIC 30X1               </t>
  </si>
  <si>
    <t xml:space="preserve">M15PR0005      </t>
  </si>
  <si>
    <t xml:space="preserve">NUTRICROP SOJA MAX 4X5        </t>
  </si>
  <si>
    <t xml:space="preserve">FRUGR0020      </t>
  </si>
  <si>
    <t xml:space="preserve">GRAP FRUTAS 20X1              </t>
  </si>
  <si>
    <t>PR-93923 10034-2</t>
  </si>
  <si>
    <t xml:space="preserve">IFLAZ0060      </t>
  </si>
  <si>
    <t xml:space="preserve">INOC. TOTALNITRO FEIJAO 60 DS </t>
  </si>
  <si>
    <t xml:space="preserve">J15GR0020      </t>
  </si>
  <si>
    <t xml:space="preserve">GRAP J15 20X1                 </t>
  </si>
  <si>
    <t>SLDFIM</t>
  </si>
  <si>
    <t xml:space="preserve">SPACI1000      </t>
  </si>
  <si>
    <t>GRAP ENXOFRE 99 CIABAY 1000 KG</t>
  </si>
  <si>
    <t xml:space="preserve">TPPPR0001      </t>
  </si>
  <si>
    <t xml:space="preserve">NUTRICROP COMPPLE MAX 12X1    </t>
  </si>
  <si>
    <t xml:space="preserve">OILAB0020      </t>
  </si>
  <si>
    <t xml:space="preserve">GRAP OIL A. BOLIVIA 20X1      </t>
  </si>
  <si>
    <t xml:space="preserve">BLGGR0015      </t>
  </si>
  <si>
    <t>BOLSA INOC. GRAMINEA COM 1,5 L</t>
  </si>
  <si>
    <t xml:space="preserve">SPACI0025      </t>
  </si>
  <si>
    <t xml:space="preserve">GRAP ENXOFRE 99 CIABAY 25 KG  </t>
  </si>
  <si>
    <t xml:space="preserve">IFLGR1215      </t>
  </si>
  <si>
    <t>INOC. GRAP NOD F 120 DS (1,5L)</t>
  </si>
  <si>
    <t>PR-05046 10163-3</t>
  </si>
  <si>
    <t xml:space="preserve">J10GR0020      </t>
  </si>
  <si>
    <t xml:space="preserve">GRAP J10 20X1                 </t>
  </si>
  <si>
    <t xml:space="preserve">J10GR0050      </t>
  </si>
  <si>
    <t xml:space="preserve">GRAP J10 50X1                 </t>
  </si>
  <si>
    <t xml:space="preserve">J15GR0005      </t>
  </si>
  <si>
    <t xml:space="preserve">GRAP J15 4X5                  </t>
  </si>
  <si>
    <t xml:space="preserve">PR-05046 10177-3 </t>
  </si>
  <si>
    <t xml:space="preserve">S90AG0025      </t>
  </si>
  <si>
    <t xml:space="preserve">GRAP ENXOFRE 90 25 KG         </t>
  </si>
  <si>
    <t xml:space="preserve">SENAB0020      </t>
  </si>
  <si>
    <t xml:space="preserve">GRAP SENSOR A. BOLIVIA 20X1   </t>
  </si>
  <si>
    <t xml:space="preserve">J10GR0005      </t>
  </si>
  <si>
    <t xml:space="preserve">GRAP J10 4X5                  </t>
  </si>
  <si>
    <t xml:space="preserve">J15GR0001      </t>
  </si>
  <si>
    <t xml:space="preserve">GRAP J15 12X1                 </t>
  </si>
  <si>
    <t xml:space="preserve">A15CI0020      </t>
  </si>
  <si>
    <t xml:space="preserve">GRAP AMYNO 15 CIABAY 20X1     </t>
  </si>
  <si>
    <t xml:space="preserve">BLGGR0060      </t>
  </si>
  <si>
    <t xml:space="preserve">BOLSA INOC. GRAMINEA COM 6,0  </t>
  </si>
  <si>
    <t xml:space="preserve">J10GR0001      </t>
  </si>
  <si>
    <t xml:space="preserve">GRAP J10 12X1                 </t>
  </si>
  <si>
    <t xml:space="preserve">EXTGR2430      </t>
  </si>
  <si>
    <t xml:space="preserve">GRAP EXTRA NOD 240 DOSES      </t>
  </si>
  <si>
    <t xml:space="preserve">PR- 05046 10170-6 </t>
  </si>
  <si>
    <t xml:space="preserve">PR-05046 </t>
  </si>
  <si>
    <t>PR-05046 10175-7</t>
  </si>
  <si>
    <t>PR-08264 03011</t>
  </si>
  <si>
    <t>Estoque Inicial</t>
  </si>
  <si>
    <t>Estoque Final</t>
  </si>
  <si>
    <t>PRODUZIDO</t>
  </si>
  <si>
    <t>OP</t>
  </si>
  <si>
    <t>DT. PRODUÇÃO</t>
  </si>
  <si>
    <t xml:space="preserve">01579301001  </t>
  </si>
  <si>
    <t>20140225</t>
  </si>
  <si>
    <t>20140226</t>
  </si>
  <si>
    <t xml:space="preserve">01598101001  </t>
  </si>
  <si>
    <t>20140331</t>
  </si>
  <si>
    <t xml:space="preserve">01551301001  </t>
  </si>
  <si>
    <t>20140117</t>
  </si>
  <si>
    <t xml:space="preserve">01592901001  </t>
  </si>
  <si>
    <t>20140324</t>
  </si>
  <si>
    <t xml:space="preserve">01570001001  </t>
  </si>
  <si>
    <t>20140210</t>
  </si>
  <si>
    <t xml:space="preserve">01574101001  </t>
  </si>
  <si>
    <t>20140220</t>
  </si>
  <si>
    <t xml:space="preserve">01577301001  </t>
  </si>
  <si>
    <t xml:space="preserve">01575801001  </t>
  </si>
  <si>
    <t>20140221</t>
  </si>
  <si>
    <t xml:space="preserve">01579401001  </t>
  </si>
  <si>
    <t xml:space="preserve">01590301001  </t>
  </si>
  <si>
    <t>20140320</t>
  </si>
  <si>
    <t xml:space="preserve">01595401001  </t>
  </si>
  <si>
    <t>20140326</t>
  </si>
  <si>
    <t xml:space="preserve">01598301001  </t>
  </si>
  <si>
    <t xml:space="preserve">01540901001  </t>
  </si>
  <si>
    <t>20140103</t>
  </si>
  <si>
    <t xml:space="preserve">01550901001  </t>
  </si>
  <si>
    <t>20140115</t>
  </si>
  <si>
    <t xml:space="preserve">01560201001  </t>
  </si>
  <si>
    <t>20140123</t>
  </si>
  <si>
    <t>20140124</t>
  </si>
  <si>
    <t xml:space="preserve">01570101001  </t>
  </si>
  <si>
    <t>20140211</t>
  </si>
  <si>
    <t xml:space="preserve">01575901001  </t>
  </si>
  <si>
    <t xml:space="preserve">01590401001  </t>
  </si>
  <si>
    <t xml:space="preserve">01592201001  </t>
  </si>
  <si>
    <t xml:space="preserve">01595701001  </t>
  </si>
  <si>
    <t xml:space="preserve">01565601001  </t>
  </si>
  <si>
    <t>20140203</t>
  </si>
  <si>
    <t xml:space="preserve">01574201001  </t>
  </si>
  <si>
    <t xml:space="preserve">01556201001  </t>
  </si>
  <si>
    <t>20140122</t>
  </si>
  <si>
    <t xml:space="preserve">01576401001  </t>
  </si>
  <si>
    <t xml:space="preserve">01587601001  </t>
  </si>
  <si>
    <t>20140319</t>
  </si>
  <si>
    <t xml:space="preserve">01544901001  </t>
  </si>
  <si>
    <t xml:space="preserve">01575401001  </t>
  </si>
  <si>
    <t>20140217</t>
  </si>
  <si>
    <t xml:space="preserve">01580101001  </t>
  </si>
  <si>
    <t>20140227</t>
  </si>
  <si>
    <t xml:space="preserve">01584301001  </t>
  </si>
  <si>
    <t>20140310</t>
  </si>
  <si>
    <t>20140318</t>
  </si>
  <si>
    <t xml:space="preserve">01554801001  </t>
  </si>
  <si>
    <t xml:space="preserve">01571801001  </t>
  </si>
  <si>
    <t xml:space="preserve">01566301001  </t>
  </si>
  <si>
    <t>20140204</t>
  </si>
  <si>
    <t xml:space="preserve">01553001001  </t>
  </si>
  <si>
    <t>20140121</t>
  </si>
  <si>
    <t xml:space="preserve">01579701001  </t>
  </si>
  <si>
    <t xml:space="preserve">01593801001  </t>
  </si>
  <si>
    <t>20140325</t>
  </si>
  <si>
    <t xml:space="preserve">01555001001  </t>
  </si>
  <si>
    <t xml:space="preserve">01556001001  </t>
  </si>
  <si>
    <t xml:space="preserve">01593901001  </t>
  </si>
  <si>
    <t xml:space="preserve">01594001001  </t>
  </si>
  <si>
    <t xml:space="preserve">01569701001  </t>
  </si>
  <si>
    <t xml:space="preserve">01574901001  </t>
  </si>
  <si>
    <t xml:space="preserve">01576801001  </t>
  </si>
  <si>
    <t xml:space="preserve">01548901001  </t>
  </si>
  <si>
    <t>20140116</t>
  </si>
  <si>
    <t xml:space="preserve">01553501001  </t>
  </si>
  <si>
    <t xml:space="preserve">01548701001  </t>
  </si>
  <si>
    <t xml:space="preserve">01575001001  </t>
  </si>
  <si>
    <t xml:space="preserve">01589701001  </t>
  </si>
  <si>
    <t xml:space="preserve">01555101001  </t>
  </si>
  <si>
    <t xml:space="preserve">01560301001  </t>
  </si>
  <si>
    <t xml:space="preserve">01564101001  </t>
  </si>
  <si>
    <t xml:space="preserve">01591401001  </t>
  </si>
  <si>
    <t>20140321</t>
  </si>
  <si>
    <t xml:space="preserve">01546301001  </t>
  </si>
  <si>
    <t xml:space="preserve">01555201001  </t>
  </si>
  <si>
    <t xml:space="preserve">01560401001  </t>
  </si>
  <si>
    <t xml:space="preserve">01570401001  </t>
  </si>
  <si>
    <t xml:space="preserve">01590001001  </t>
  </si>
  <si>
    <t xml:space="preserve">01591601001  </t>
  </si>
  <si>
    <t xml:space="preserve">01546401001  </t>
  </si>
  <si>
    <t xml:space="preserve">01591501001  </t>
  </si>
  <si>
    <t xml:space="preserve">01597501001  </t>
  </si>
  <si>
    <t>20140328</t>
  </si>
  <si>
    <t xml:space="preserve">01571601001  </t>
  </si>
  <si>
    <t xml:space="preserve">01574301001  </t>
  </si>
  <si>
    <t>20140218</t>
  </si>
  <si>
    <t xml:space="preserve">01551801001  </t>
  </si>
  <si>
    <t xml:space="preserve">01574401001  </t>
  </si>
  <si>
    <t>20140306</t>
  </si>
  <si>
    <t xml:space="preserve">01592501001  </t>
  </si>
  <si>
    <t xml:space="preserve">01592601001  </t>
  </si>
  <si>
    <t xml:space="preserve">01551401001  </t>
  </si>
  <si>
    <t xml:space="preserve">01578901001  </t>
  </si>
  <si>
    <t xml:space="preserve">01579001001  </t>
  </si>
  <si>
    <t xml:space="preserve">01579201001  </t>
  </si>
  <si>
    <t xml:space="preserve">01445201001  </t>
  </si>
  <si>
    <t xml:space="preserve">01559001001  </t>
  </si>
  <si>
    <t>20140127</t>
  </si>
  <si>
    <t xml:space="preserve">01597801001  </t>
  </si>
  <si>
    <t xml:space="preserve">01558401001  </t>
  </si>
  <si>
    <t xml:space="preserve">01581701001  </t>
  </si>
  <si>
    <t xml:space="preserve">01591901001  </t>
  </si>
  <si>
    <t xml:space="preserve">01596901001  </t>
  </si>
  <si>
    <t>20140327</t>
  </si>
  <si>
    <t xml:space="preserve">01570201001  </t>
  </si>
  <si>
    <t xml:space="preserve">01574701001  </t>
  </si>
  <si>
    <t xml:space="preserve">01590701001  </t>
  </si>
  <si>
    <t xml:space="preserve">01595301001  </t>
  </si>
  <si>
    <t xml:space="preserve">01548101001  </t>
  </si>
  <si>
    <t>20140108</t>
  </si>
  <si>
    <t xml:space="preserve">01572101001  </t>
  </si>
  <si>
    <t>20140212</t>
  </si>
  <si>
    <t xml:space="preserve">01576501001  </t>
  </si>
  <si>
    <t xml:space="preserve">01589101001  </t>
  </si>
  <si>
    <t xml:space="preserve">01566801001  </t>
  </si>
  <si>
    <t>20140206</t>
  </si>
  <si>
    <t xml:space="preserve">01567601001  </t>
  </si>
  <si>
    <t xml:space="preserve">01569401001  </t>
  </si>
  <si>
    <t xml:space="preserve">01567001001  </t>
  </si>
  <si>
    <t xml:space="preserve">01566901001  </t>
  </si>
  <si>
    <t xml:space="preserve">01569301001  </t>
  </si>
  <si>
    <t xml:space="preserve">01575701001  </t>
  </si>
  <si>
    <t>20140219</t>
  </si>
  <si>
    <t xml:space="preserve">01578501001  </t>
  </si>
  <si>
    <t xml:space="preserve">01578001001  </t>
  </si>
  <si>
    <t xml:space="preserve">01579601001  </t>
  </si>
  <si>
    <t xml:space="preserve">01581201001  </t>
  </si>
  <si>
    <t>20140228</t>
  </si>
  <si>
    <t xml:space="preserve">01581101001  </t>
  </si>
  <si>
    <t xml:space="preserve">01569201001  </t>
  </si>
  <si>
    <t>20140213</t>
  </si>
  <si>
    <t xml:space="preserve">01573701001  </t>
  </si>
  <si>
    <t xml:space="preserve">01564301001  </t>
  </si>
  <si>
    <t>20140131</t>
  </si>
  <si>
    <t xml:space="preserve">01577101001  </t>
  </si>
  <si>
    <t xml:space="preserve">01580701001  </t>
  </si>
  <si>
    <t xml:space="preserve">01544301001  </t>
  </si>
  <si>
    <t>20140102</t>
  </si>
  <si>
    <t xml:space="preserve">01544201001  </t>
  </si>
  <si>
    <t xml:space="preserve">01546101001  </t>
  </si>
  <si>
    <t xml:space="preserve">01546201001  </t>
  </si>
  <si>
    <t xml:space="preserve">01547901001  </t>
  </si>
  <si>
    <t>20140106</t>
  </si>
  <si>
    <t>20140107</t>
  </si>
  <si>
    <t xml:space="preserve">01547701001  </t>
  </si>
  <si>
    <t xml:space="preserve">01547601001  </t>
  </si>
  <si>
    <t xml:space="preserve">01549401001  </t>
  </si>
  <si>
    <t>20140109</t>
  </si>
  <si>
    <t xml:space="preserve">01549501001  </t>
  </si>
  <si>
    <t xml:space="preserve">01551001001  </t>
  </si>
  <si>
    <t xml:space="preserve">01551101001  </t>
  </si>
  <si>
    <t xml:space="preserve">01551901001  </t>
  </si>
  <si>
    <t xml:space="preserve">01551201001  </t>
  </si>
  <si>
    <t xml:space="preserve">01547801001  </t>
  </si>
  <si>
    <t xml:space="preserve">01554101001  </t>
  </si>
  <si>
    <t xml:space="preserve">01554201001  </t>
  </si>
  <si>
    <t xml:space="preserve">01554601001  </t>
  </si>
  <si>
    <t xml:space="preserve">01554701001  </t>
  </si>
  <si>
    <t>20140110</t>
  </si>
  <si>
    <t xml:space="preserve">01549601001  </t>
  </si>
  <si>
    <t xml:space="preserve">01559901001  </t>
  </si>
  <si>
    <t xml:space="preserve">01560101001  </t>
  </si>
  <si>
    <t xml:space="preserve">01559801001  </t>
  </si>
  <si>
    <t xml:space="preserve">01562001001  </t>
  </si>
  <si>
    <t>20140128</t>
  </si>
  <si>
    <t xml:space="preserve">01554001001  </t>
  </si>
  <si>
    <t>20140120</t>
  </si>
  <si>
    <t xml:space="preserve">01561801001  </t>
  </si>
  <si>
    <t xml:space="preserve">01565101001  </t>
  </si>
  <si>
    <t xml:space="preserve">01565201001  </t>
  </si>
  <si>
    <t>20140205</t>
  </si>
  <si>
    <t xml:space="preserve">01565301001  </t>
  </si>
  <si>
    <t xml:space="preserve">01556401001  </t>
  </si>
  <si>
    <t xml:space="preserve">01560001001  </t>
  </si>
  <si>
    <t xml:space="preserve">01570501001  </t>
  </si>
  <si>
    <t xml:space="preserve">01570601001  </t>
  </si>
  <si>
    <t xml:space="preserve">01570701001  </t>
  </si>
  <si>
    <t>20140214</t>
  </si>
  <si>
    <t xml:space="preserve">01570901001  </t>
  </si>
  <si>
    <t xml:space="preserve">01562101001  </t>
  </si>
  <si>
    <t>20140129</t>
  </si>
  <si>
    <t xml:space="preserve">01561901001  </t>
  </si>
  <si>
    <t xml:space="preserve">01573801001  </t>
  </si>
  <si>
    <t xml:space="preserve">01577201001  </t>
  </si>
  <si>
    <t>20140224</t>
  </si>
  <si>
    <t xml:space="preserve">01575301001  </t>
  </si>
  <si>
    <t xml:space="preserve">01565001001  </t>
  </si>
  <si>
    <t xml:space="preserve">01570801001  </t>
  </si>
  <si>
    <t xml:space="preserve">01579501001  </t>
  </si>
  <si>
    <t xml:space="preserve">01581001001  </t>
  </si>
  <si>
    <t xml:space="preserve">01581601001  </t>
  </si>
  <si>
    <t xml:space="preserve">01582701001  </t>
  </si>
  <si>
    <t xml:space="preserve">01573901001  </t>
  </si>
  <si>
    <t xml:space="preserve">01585001001  </t>
  </si>
  <si>
    <t>20140311</t>
  </si>
  <si>
    <t xml:space="preserve">01584901001  </t>
  </si>
  <si>
    <t xml:space="preserve">01585101001  </t>
  </si>
  <si>
    <t>20140317</t>
  </si>
  <si>
    <t xml:space="preserve">01588601001  </t>
  </si>
  <si>
    <t xml:space="preserve">01577601001  </t>
  </si>
  <si>
    <t xml:space="preserve">01588701001  </t>
  </si>
  <si>
    <t xml:space="preserve">01589501001  </t>
  </si>
  <si>
    <t xml:space="preserve">01596701001  </t>
  </si>
  <si>
    <t xml:space="preserve">01597101001  </t>
  </si>
  <si>
    <t xml:space="preserve">01582801001  </t>
  </si>
  <si>
    <t xml:space="preserve">01582901001  </t>
  </si>
  <si>
    <t>20140307</t>
  </si>
  <si>
    <t xml:space="preserve">01567701001  </t>
  </si>
  <si>
    <t xml:space="preserve">01589401001  </t>
  </si>
  <si>
    <t xml:space="preserve">01591801001  </t>
  </si>
  <si>
    <t xml:space="preserve">01596601001  </t>
  </si>
  <si>
    <t xml:space="preserve">01597001001  </t>
  </si>
  <si>
    <t xml:space="preserve">01556301001  </t>
  </si>
  <si>
    <t xml:space="preserve">01582601001  </t>
  </si>
  <si>
    <t xml:space="preserve">01582501001  </t>
  </si>
  <si>
    <t xml:space="preserve">01592701001  </t>
  </si>
  <si>
    <t xml:space="preserve">01568901001  </t>
  </si>
  <si>
    <t>20140207</t>
  </si>
  <si>
    <t xml:space="preserve">01568701001  </t>
  </si>
  <si>
    <t xml:space="preserve">01568601001  </t>
  </si>
  <si>
    <t xml:space="preserve">01568801001  </t>
  </si>
  <si>
    <t xml:space="preserve">01566501001  </t>
  </si>
  <si>
    <t xml:space="preserve">01572801001  </t>
  </si>
  <si>
    <t xml:space="preserve">01593101001  </t>
  </si>
  <si>
    <t xml:space="preserve">01566601001  </t>
  </si>
  <si>
    <t xml:space="preserve">01574501001  </t>
  </si>
  <si>
    <t xml:space="preserve">01594601001  </t>
  </si>
  <si>
    <t xml:space="preserve">01553301001  </t>
  </si>
  <si>
    <t xml:space="preserve">01571101001  </t>
  </si>
  <si>
    <t xml:space="preserve">01585501001  </t>
  </si>
  <si>
    <t xml:space="preserve">01586001001  </t>
  </si>
  <si>
    <t>20140314</t>
  </si>
  <si>
    <t xml:space="preserve">01548801001  </t>
  </si>
  <si>
    <t xml:space="preserve">01553401001  </t>
  </si>
  <si>
    <t xml:space="preserve">01560701001  </t>
  </si>
  <si>
    <t xml:space="preserve">01593601001  </t>
  </si>
  <si>
    <t xml:space="preserve">01560601001  </t>
  </si>
  <si>
    <t xml:space="preserve">01581801001  </t>
  </si>
  <si>
    <t xml:space="preserve">01593501001  </t>
  </si>
  <si>
    <t xml:space="preserve">01577401001  </t>
  </si>
  <si>
    <t xml:space="preserve">01549701001  </t>
  </si>
  <si>
    <t xml:space="preserve">01559701001  </t>
  </si>
  <si>
    <t xml:space="preserve">01565501001  </t>
  </si>
  <si>
    <t xml:space="preserve">01567901001  </t>
  </si>
  <si>
    <t xml:space="preserve">01577501001  </t>
  </si>
  <si>
    <t xml:space="preserve">01579801001  </t>
  </si>
  <si>
    <t xml:space="preserve">01590901001  </t>
  </si>
  <si>
    <t xml:space="preserve">01596401001  </t>
  </si>
  <si>
    <t xml:space="preserve">01559601001  </t>
  </si>
  <si>
    <t xml:space="preserve">01596301001  </t>
  </si>
  <si>
    <t xml:space="preserve">01559501001  </t>
  </si>
  <si>
    <t xml:space="preserve">01567801001  </t>
  </si>
  <si>
    <t xml:space="preserve">01596501001  </t>
  </si>
  <si>
    <t xml:space="preserve">01546001001  </t>
  </si>
  <si>
    <t xml:space="preserve">01534101001  </t>
  </si>
  <si>
    <t xml:space="preserve">01562201001  </t>
  </si>
  <si>
    <t xml:space="preserve">01584801001  </t>
  </si>
  <si>
    <t xml:space="preserve">01549801001  </t>
  </si>
  <si>
    <t>20140113</t>
  </si>
  <si>
    <t xml:space="preserve">01553801001  </t>
  </si>
  <si>
    <t xml:space="preserve">01564501001  </t>
  </si>
  <si>
    <t>20140130</t>
  </si>
  <si>
    <t xml:space="preserve">01588201001  </t>
  </si>
  <si>
    <t xml:space="preserve">01591301001  </t>
  </si>
  <si>
    <t xml:space="preserve">01596801001  </t>
  </si>
  <si>
    <t xml:space="preserve">01549901001  </t>
  </si>
  <si>
    <t xml:space="preserve">01553901001  </t>
  </si>
  <si>
    <t xml:space="preserve">01569101001  </t>
  </si>
  <si>
    <t xml:space="preserve">01569001001  </t>
  </si>
  <si>
    <t xml:space="preserve">01588301001  </t>
  </si>
  <si>
    <t xml:space="preserve">01588401001  </t>
  </si>
  <si>
    <t xml:space="preserve">01587401001  </t>
  </si>
  <si>
    <t xml:space="preserve">01545201001  </t>
  </si>
  <si>
    <t xml:space="preserve">01545101001  </t>
  </si>
  <si>
    <t xml:space="preserve">01563001001  </t>
  </si>
  <si>
    <t xml:space="preserve">01562601001  </t>
  </si>
  <si>
    <t xml:space="preserve">01563901001  </t>
  </si>
  <si>
    <t xml:space="preserve">01563801001  </t>
  </si>
  <si>
    <t xml:space="preserve">01563701001  </t>
  </si>
  <si>
    <t xml:space="preserve">01563601001  </t>
  </si>
  <si>
    <t xml:space="preserve">01563201001  </t>
  </si>
  <si>
    <t xml:space="preserve">01564001001  </t>
  </si>
  <si>
    <t xml:space="preserve">01567101001  </t>
  </si>
  <si>
    <t xml:space="preserve">01567201001  </t>
  </si>
  <si>
    <t xml:space="preserve">01563101001  </t>
  </si>
  <si>
    <t xml:space="preserve">01563501001  </t>
  </si>
  <si>
    <t xml:space="preserve">01563401001  </t>
  </si>
  <si>
    <t xml:space="preserve">01563301001  </t>
  </si>
  <si>
    <t xml:space="preserve">01564401001  </t>
  </si>
  <si>
    <t xml:space="preserve">01580601001  </t>
  </si>
  <si>
    <t xml:space="preserve">01550001001  </t>
  </si>
  <si>
    <t xml:space="preserve">01555701001  </t>
  </si>
  <si>
    <t xml:space="preserve">01595501001  </t>
  </si>
  <si>
    <t xml:space="preserve">01550101001  </t>
  </si>
  <si>
    <t xml:space="preserve">01555601001  </t>
  </si>
  <si>
    <t xml:space="preserve">01572901001  </t>
  </si>
  <si>
    <t xml:space="preserve">01550201001  </t>
  </si>
  <si>
    <t xml:space="preserve">01555801001  </t>
  </si>
  <si>
    <t xml:space="preserve">01558101001  </t>
  </si>
  <si>
    <t xml:space="preserve">01595601001  </t>
  </si>
  <si>
    <t xml:space="preserve">01590501001  </t>
  </si>
  <si>
    <t xml:space="preserve">01569901001  </t>
  </si>
  <si>
    <t xml:space="preserve">01558301001  </t>
  </si>
  <si>
    <t xml:space="preserve">01565701001  </t>
  </si>
  <si>
    <t xml:space="preserve">01583501001  </t>
  </si>
  <si>
    <t xml:space="preserve">01586801001  </t>
  </si>
  <si>
    <t xml:space="preserve">01569501001  </t>
  </si>
  <si>
    <t xml:space="preserve">01583601001  </t>
  </si>
  <si>
    <t xml:space="preserve">01586901001  </t>
  </si>
  <si>
    <t xml:space="preserve">01571001001  </t>
  </si>
  <si>
    <t xml:space="preserve">01583701001  </t>
  </si>
  <si>
    <t xml:space="preserve">01587001001  </t>
  </si>
  <si>
    <t xml:space="preserve">01570301001  </t>
  </si>
  <si>
    <t xml:space="preserve">01576701001  </t>
  </si>
  <si>
    <t xml:space="preserve">01584101001  </t>
  </si>
  <si>
    <t xml:space="preserve">01574601001  </t>
  </si>
  <si>
    <t xml:space="preserve">01555301001  </t>
  </si>
  <si>
    <t xml:space="preserve">01583801001  </t>
  </si>
  <si>
    <t xml:space="preserve">01569801001  </t>
  </si>
  <si>
    <t xml:space="preserve">01592401001  </t>
  </si>
  <si>
    <t xml:space="preserve">01561701001  </t>
  </si>
  <si>
    <t xml:space="preserve">01551701001  </t>
  </si>
  <si>
    <t xml:space="preserve">01561601001  </t>
  </si>
  <si>
    <t xml:space="preserve">01561501001  </t>
  </si>
  <si>
    <t xml:space="preserve">01548001001  </t>
  </si>
  <si>
    <t xml:space="preserve">01552401001  </t>
  </si>
  <si>
    <t xml:space="preserve">01584501001  </t>
  </si>
  <si>
    <t xml:space="preserve">01594501001  </t>
  </si>
  <si>
    <t xml:space="preserve">01560501001  </t>
  </si>
  <si>
    <t xml:space="preserve">01564201001  </t>
  </si>
  <si>
    <t xml:space="preserve">01594101001  </t>
  </si>
  <si>
    <t xml:space="preserve">01574801001  </t>
  </si>
  <si>
    <t xml:space="preserve">01580201001  </t>
  </si>
  <si>
    <t xml:space="preserve">01587501001  </t>
  </si>
  <si>
    <t xml:space="preserve">01577001001  </t>
  </si>
  <si>
    <t xml:space="preserve">01590101001  </t>
  </si>
  <si>
    <t xml:space="preserve">01591701001  </t>
  </si>
  <si>
    <t xml:space="preserve">01552301001  </t>
  </si>
  <si>
    <t xml:space="preserve">01594201001  </t>
  </si>
  <si>
    <t xml:space="preserve">01571701001  </t>
  </si>
  <si>
    <t xml:space="preserve">01552001001  </t>
  </si>
  <si>
    <t xml:space="preserve">01552101001  </t>
  </si>
  <si>
    <t xml:space="preserve">01584401001  </t>
  </si>
  <si>
    <t xml:space="preserve">01594401001  </t>
  </si>
  <si>
    <t xml:space="preserve">01553201001  </t>
  </si>
  <si>
    <t xml:space="preserve">01555401001  </t>
  </si>
  <si>
    <t xml:space="preserve">01586301001  </t>
  </si>
  <si>
    <t>20140313</t>
  </si>
  <si>
    <t xml:space="preserve">01586401001  </t>
  </si>
  <si>
    <t xml:space="preserve">01592301001  </t>
  </si>
  <si>
    <t xml:space="preserve">01597701001  </t>
  </si>
  <si>
    <t xml:space="preserve">01545301001  </t>
  </si>
  <si>
    <t xml:space="preserve">01545401001  </t>
  </si>
  <si>
    <t xml:space="preserve">01513601001  </t>
  </si>
  <si>
    <t xml:space="preserve">01562501001  </t>
  </si>
  <si>
    <t xml:space="preserve">01565401001  </t>
  </si>
  <si>
    <t xml:space="preserve">01567401001  </t>
  </si>
  <si>
    <t xml:space="preserve">01577901001  </t>
  </si>
  <si>
    <t xml:space="preserve">01585801001  </t>
  </si>
  <si>
    <t xml:space="preserve">01573501001  </t>
  </si>
  <si>
    <t xml:space="preserve">01594901001  </t>
  </si>
  <si>
    <t>Produção</t>
  </si>
  <si>
    <t>PR</t>
  </si>
  <si>
    <t>MT</t>
  </si>
  <si>
    <t>SP</t>
  </si>
  <si>
    <t>TIPO</t>
  </si>
  <si>
    <t>VENDAS</t>
  </si>
  <si>
    <t>DOC</t>
  </si>
  <si>
    <t>EMISSÃO</t>
  </si>
  <si>
    <t>UF</t>
  </si>
  <si>
    <t>N</t>
  </si>
  <si>
    <t>000011182</t>
  </si>
  <si>
    <t>000010797</t>
  </si>
  <si>
    <t>000010800</t>
  </si>
  <si>
    <t>000010877</t>
  </si>
  <si>
    <t>20140114</t>
  </si>
  <si>
    <t>000010929</t>
  </si>
  <si>
    <t>000011013</t>
  </si>
  <si>
    <t>000011080</t>
  </si>
  <si>
    <t>000011268</t>
  </si>
  <si>
    <t>000011271</t>
  </si>
  <si>
    <t>000011082</t>
  </si>
  <si>
    <t>000011083</t>
  </si>
  <si>
    <t>000011188</t>
  </si>
  <si>
    <t>000011093</t>
  </si>
  <si>
    <t>000011218</t>
  </si>
  <si>
    <t>000010903</t>
  </si>
  <si>
    <t>000011134</t>
  </si>
  <si>
    <t>000011226</t>
  </si>
  <si>
    <t>000011358</t>
  </si>
  <si>
    <t>000010861</t>
  </si>
  <si>
    <t>000011304</t>
  </si>
  <si>
    <t>000011095</t>
  </si>
  <si>
    <t>000010954</t>
  </si>
  <si>
    <t>000011229</t>
  </si>
  <si>
    <t>000010890</t>
  </si>
  <si>
    <t>000010925</t>
  </si>
  <si>
    <t>000010932</t>
  </si>
  <si>
    <t>000010956</t>
  </si>
  <si>
    <t>000010985</t>
  </si>
  <si>
    <t>000010986</t>
  </si>
  <si>
    <t>000010989</t>
  </si>
  <si>
    <t>000011020</t>
  </si>
  <si>
    <t>000010973</t>
  </si>
  <si>
    <t>000010974</t>
  </si>
  <si>
    <t>000010975</t>
  </si>
  <si>
    <t>000010976</t>
  </si>
  <si>
    <t>000010983</t>
  </si>
  <si>
    <t>000010984</t>
  </si>
  <si>
    <t>000010967</t>
  </si>
  <si>
    <t>000010968</t>
  </si>
  <si>
    <t>000010969</t>
  </si>
  <si>
    <t>000010970</t>
  </si>
  <si>
    <t>000010972</t>
  </si>
  <si>
    <t>000011156</t>
  </si>
  <si>
    <t>000011163</t>
  </si>
  <si>
    <t>000010900</t>
  </si>
  <si>
    <t>000010946</t>
  </si>
  <si>
    <t>000011230</t>
  </si>
  <si>
    <t>000010788</t>
  </si>
  <si>
    <t>000010887</t>
  </si>
  <si>
    <t>000010893</t>
  </si>
  <si>
    <t>000010832</t>
  </si>
  <si>
    <t>000010866</t>
  </si>
  <si>
    <t>000011047</t>
  </si>
  <si>
    <t>000011345</t>
  </si>
  <si>
    <t>000011342</t>
  </si>
  <si>
    <t>000010816</t>
  </si>
  <si>
    <t>000010891</t>
  </si>
  <si>
    <t>000010945</t>
  </si>
  <si>
    <t>000011154</t>
  </si>
  <si>
    <t>000011325</t>
  </si>
  <si>
    <t>000010819</t>
  </si>
  <si>
    <t>000011343</t>
  </si>
  <si>
    <t>000010786</t>
  </si>
  <si>
    <t>000010971</t>
  </si>
  <si>
    <t>000011074</t>
  </si>
  <si>
    <t>000010959</t>
  </si>
  <si>
    <t>000011334</t>
  </si>
  <si>
    <t>000011264</t>
  </si>
  <si>
    <t>000010994</t>
  </si>
  <si>
    <t>000010876</t>
  </si>
  <si>
    <t>000010977</t>
  </si>
  <si>
    <t>000010978</t>
  </si>
  <si>
    <t>000010979</t>
  </si>
  <si>
    <t>000011308</t>
  </si>
  <si>
    <t>000011318</t>
  </si>
  <si>
    <t>000011331</t>
  </si>
  <si>
    <t>000011332</t>
  </si>
  <si>
    <t>000010980</t>
  </si>
  <si>
    <t>000010981</t>
  </si>
  <si>
    <t>000010982</t>
  </si>
  <si>
    <t>000011164</t>
  </si>
  <si>
    <t>000011231</t>
  </si>
  <si>
    <t>000011294</t>
  </si>
  <si>
    <t>000011275</t>
  </si>
  <si>
    <t>000011064</t>
  </si>
  <si>
    <t>000011239</t>
  </si>
  <si>
    <t>000011303</t>
  </si>
  <si>
    <t>000011227</t>
  </si>
  <si>
    <t>000011216</t>
  </si>
  <si>
    <t>000010813</t>
  </si>
  <si>
    <t>000011084</t>
  </si>
  <si>
    <t>000011085</t>
  </si>
  <si>
    <t>000011130</t>
  </si>
  <si>
    <t>000010908</t>
  </si>
  <si>
    <t>000011279</t>
  </si>
  <si>
    <t>000011320</t>
  </si>
  <si>
    <t>000010930</t>
  </si>
  <si>
    <t>000011094</t>
  </si>
  <si>
    <t>000011112</t>
  </si>
  <si>
    <t>000011143</t>
  </si>
  <si>
    <t>000011157</t>
  </si>
  <si>
    <t>000010837</t>
  </si>
  <si>
    <t>000010960</t>
  </si>
  <si>
    <t>000010961</t>
  </si>
  <si>
    <t>000011139</t>
  </si>
  <si>
    <t>000011337</t>
  </si>
  <si>
    <t>000011198</t>
  </si>
  <si>
    <t>000011270</t>
  </si>
  <si>
    <t>000011033</t>
  </si>
  <si>
    <t>000011058</t>
  </si>
  <si>
    <t>000011061</t>
  </si>
  <si>
    <t>000010878</t>
  </si>
  <si>
    <t>000011032</t>
  </si>
  <si>
    <t>000011121</t>
  </si>
  <si>
    <t>000010838</t>
  </si>
  <si>
    <t>000010839</t>
  </si>
  <si>
    <t>000010901</t>
  </si>
  <si>
    <t>000010902</t>
  </si>
  <si>
    <t>000011063</t>
  </si>
  <si>
    <t>000011018</t>
  </si>
  <si>
    <t>000011019</t>
  </si>
  <si>
    <t>000011025</t>
  </si>
  <si>
    <t>000011045</t>
  </si>
  <si>
    <t>000010957</t>
  </si>
  <si>
    <t>000010963</t>
  </si>
  <si>
    <t>000010964</t>
  </si>
  <si>
    <t>000011099</t>
  </si>
  <si>
    <t>000011149</t>
  </si>
  <si>
    <t>000011251</t>
  </si>
  <si>
    <t>20140312</t>
  </si>
  <si>
    <t>000010789</t>
  </si>
  <si>
    <t>000011175</t>
  </si>
  <si>
    <t>000011241</t>
  </si>
  <si>
    <t>000011267</t>
  </si>
  <si>
    <t>000010817</t>
  </si>
  <si>
    <t>000010818</t>
  </si>
  <si>
    <t>000011060</t>
  </si>
  <si>
    <t>000010871</t>
  </si>
  <si>
    <t>000010872</t>
  </si>
  <si>
    <t>000011254</t>
  </si>
  <si>
    <t>000011260</t>
  </si>
  <si>
    <t>000011326</t>
  </si>
  <si>
    <t>000011351</t>
  </si>
  <si>
    <t>000010935</t>
  </si>
  <si>
    <t>000011038</t>
  </si>
  <si>
    <t>000011122</t>
  </si>
  <si>
    <t>000011298</t>
  </si>
  <si>
    <t>000011349</t>
  </si>
  <si>
    <t>000010812</t>
  </si>
  <si>
    <t>000010860</t>
  </si>
  <si>
    <t>000011059</t>
  </si>
  <si>
    <t>000010831</t>
  </si>
  <si>
    <t>000010931</t>
  </si>
  <si>
    <t>000011073</t>
  </si>
  <si>
    <t>000011172</t>
  </si>
  <si>
    <t>000011301</t>
  </si>
  <si>
    <t>000010830</t>
  </si>
  <si>
    <t>000010873</t>
  </si>
  <si>
    <t>000011053</t>
  </si>
  <si>
    <t>000011201</t>
  </si>
  <si>
    <t>000011305</t>
  </si>
  <si>
    <t>000011348</t>
  </si>
  <si>
    <t>000011052</t>
  </si>
  <si>
    <t>000011127</t>
  </si>
  <si>
    <t>000011133</t>
  </si>
  <si>
    <t>000011048</t>
  </si>
  <si>
    <t>000011210</t>
  </si>
  <si>
    <t>20140305</t>
  </si>
  <si>
    <t>000011155</t>
  </si>
  <si>
    <t>000010907</t>
  </si>
  <si>
    <t>000011219</t>
  </si>
  <si>
    <t>000011272</t>
  </si>
  <si>
    <t>000010948</t>
  </si>
  <si>
    <t>000010965</t>
  </si>
  <si>
    <t>000011041</t>
  </si>
  <si>
    <t>000010937</t>
  </si>
  <si>
    <t>000010850</t>
  </si>
  <si>
    <t>000010851</t>
  </si>
  <si>
    <t>000010852</t>
  </si>
  <si>
    <t>000010863</t>
  </si>
  <si>
    <t>000010868</t>
  </si>
  <si>
    <t>000010814</t>
  </si>
  <si>
    <t>000010815</t>
  </si>
  <si>
    <t>000010840</t>
  </si>
  <si>
    <t>000010807</t>
  </si>
  <si>
    <t>000010808</t>
  </si>
  <si>
    <t>000010862</t>
  </si>
  <si>
    <t>000010865</t>
  </si>
  <si>
    <t>000010892</t>
  </si>
  <si>
    <t>000010841</t>
  </si>
  <si>
    <t>000011330</t>
  </si>
  <si>
    <t>000011335</t>
  </si>
  <si>
    <t>000011346</t>
  </si>
  <si>
    <t>000010790</t>
  </si>
  <si>
    <t>000011228</t>
  </si>
  <si>
    <t>000011232</t>
  </si>
  <si>
    <t>000010897</t>
  </si>
  <si>
    <t>000010923</t>
  </si>
  <si>
    <t>000011113</t>
  </si>
  <si>
    <t>000011135</t>
  </si>
  <si>
    <t>000011161</t>
  </si>
  <si>
    <t>000011179</t>
  </si>
  <si>
    <t>000011347</t>
  </si>
  <si>
    <t>000011309</t>
  </si>
  <si>
    <t>000011319</t>
  </si>
  <si>
    <t>000011328</t>
  </si>
  <si>
    <t>000011183</t>
  </si>
  <si>
    <t>000011211</t>
  </si>
  <si>
    <t>000010889</t>
  </si>
  <si>
    <t>000011295</t>
  </si>
  <si>
    <t>000011296</t>
  </si>
  <si>
    <t>000010799</t>
  </si>
  <si>
    <t>000011180</t>
  </si>
  <si>
    <t>000011212</t>
  </si>
  <si>
    <t>000011257</t>
  </si>
  <si>
    <t>000010879</t>
  </si>
  <si>
    <t>000010880</t>
  </si>
  <si>
    <t>000010881</t>
  </si>
  <si>
    <t>000011350</t>
  </si>
  <si>
    <t>000011027</t>
  </si>
  <si>
    <t>000011299</t>
  </si>
  <si>
    <t>000010944</t>
  </si>
  <si>
    <t>000011215</t>
  </si>
  <si>
    <t>000011250</t>
  </si>
  <si>
    <t>000011252</t>
  </si>
  <si>
    <t>000011265</t>
  </si>
  <si>
    <t>000011269</t>
  </si>
  <si>
    <t>000011297</t>
  </si>
  <si>
    <t>000011174</t>
  </si>
  <si>
    <t>000011185</t>
  </si>
  <si>
    <t>000011097</t>
  </si>
  <si>
    <t>000011136</t>
  </si>
  <si>
    <t>000010987</t>
  </si>
  <si>
    <t>000011046</t>
  </si>
  <si>
    <t>000011062</t>
  </si>
  <si>
    <t>000010927</t>
  </si>
  <si>
    <t>000010947</t>
  </si>
  <si>
    <t>000011262</t>
  </si>
  <si>
    <t>000010820</t>
  </si>
  <si>
    <t>000010864</t>
  </si>
  <si>
    <t>000011329</t>
  </si>
  <si>
    <t>000011242</t>
  </si>
  <si>
    <t>000011244</t>
  </si>
  <si>
    <t>000011274</t>
  </si>
  <si>
    <t>000011225</t>
  </si>
  <si>
    <t>000011196</t>
  </si>
  <si>
    <t>000011202</t>
  </si>
  <si>
    <t>000011017</t>
  </si>
  <si>
    <t>VendPR</t>
  </si>
  <si>
    <t>PAÍS</t>
  </si>
  <si>
    <t>000011131</t>
  </si>
  <si>
    <t>EX</t>
  </si>
  <si>
    <t>PARAGUAI</t>
  </si>
  <si>
    <t>000011132</t>
  </si>
  <si>
    <t>000011151</t>
  </si>
  <si>
    <t>000011192</t>
  </si>
  <si>
    <t>000011075</t>
  </si>
  <si>
    <t>000011160</t>
  </si>
  <si>
    <t>000011153</t>
  </si>
  <si>
    <t>000011159</t>
  </si>
  <si>
    <t>000011189</t>
  </si>
  <si>
    <t>000011259</t>
  </si>
  <si>
    <t xml:space="preserve">PARAGUAI                 </t>
  </si>
  <si>
    <t>VendEx</t>
  </si>
  <si>
    <t>000010920</t>
  </si>
  <si>
    <t>MS</t>
  </si>
  <si>
    <t>BRASIL</t>
  </si>
  <si>
    <t>000010921</t>
  </si>
  <si>
    <t>000010918</t>
  </si>
  <si>
    <t>000011287</t>
  </si>
  <si>
    <t>000011011</t>
  </si>
  <si>
    <t>000010919</t>
  </si>
  <si>
    <t>000011034</t>
  </si>
  <si>
    <t>GO</t>
  </si>
  <si>
    <t>000011035</t>
  </si>
  <si>
    <t>000010895</t>
  </si>
  <si>
    <t>000010942</t>
  </si>
  <si>
    <t>000011322</t>
  </si>
  <si>
    <t>000011248</t>
  </si>
  <si>
    <t>000011187</t>
  </si>
  <si>
    <t>000011123</t>
  </si>
  <si>
    <t>000011014</t>
  </si>
  <si>
    <t>000010939</t>
  </si>
  <si>
    <t>000011015</t>
  </si>
  <si>
    <t>000010884</t>
  </si>
  <si>
    <t>000010941</t>
  </si>
  <si>
    <t>000010896</t>
  </si>
  <si>
    <t>000011036</t>
  </si>
  <si>
    <t>000011124</t>
  </si>
  <si>
    <t>000011321</t>
  </si>
  <si>
    <t>000011247</t>
  </si>
  <si>
    <t>000011186</t>
  </si>
  <si>
    <t>000010940</t>
  </si>
  <si>
    <t>000011285</t>
  </si>
  <si>
    <t>000011177</t>
  </si>
  <si>
    <t>000011037</t>
  </si>
  <si>
    <t>000011282</t>
  </si>
  <si>
    <t>000011284</t>
  </si>
  <si>
    <t>000011283</t>
  </si>
  <si>
    <t>000011286</t>
  </si>
  <si>
    <t>000010917</t>
  </si>
  <si>
    <t>000011008</t>
  </si>
  <si>
    <t>000011144</t>
  </si>
  <si>
    <t>TO</t>
  </si>
  <si>
    <t>000011145</t>
  </si>
  <si>
    <t>000010827</t>
  </si>
  <si>
    <t>000010836</t>
  </si>
  <si>
    <t>000010821</t>
  </si>
  <si>
    <t>000010822</t>
  </si>
  <si>
    <t>000010823</t>
  </si>
  <si>
    <t>000010824</t>
  </si>
  <si>
    <t>000010825</t>
  </si>
  <si>
    <t>000010922</t>
  </si>
  <si>
    <t>000011141</t>
  </si>
  <si>
    <t>RS</t>
  </si>
  <si>
    <t>000011016</t>
  </si>
  <si>
    <t>MG</t>
  </si>
  <si>
    <t>000011246</t>
  </si>
  <si>
    <t>000011311</t>
  </si>
  <si>
    <t>RN</t>
  </si>
  <si>
    <t>000011310</t>
  </si>
  <si>
    <t>000011253</t>
  </si>
  <si>
    <t>RJ</t>
  </si>
  <si>
    <t>000011005</t>
  </si>
  <si>
    <t>000011026</t>
  </si>
  <si>
    <t>000010833</t>
  </si>
  <si>
    <t>000010856</t>
  </si>
  <si>
    <t>000011129</t>
  </si>
  <si>
    <t>000011067</t>
  </si>
  <si>
    <t>000011148</t>
  </si>
  <si>
    <t>000011081</t>
  </si>
  <si>
    <t>000010829</t>
  </si>
  <si>
    <t>000010810</t>
  </si>
  <si>
    <t>000010811</t>
  </si>
  <si>
    <t>000011150</t>
  </si>
  <si>
    <t>000011165</t>
  </si>
  <si>
    <t>000011173</t>
  </si>
  <si>
    <t>000011068</t>
  </si>
  <si>
    <t>000011070</t>
  </si>
  <si>
    <t>000011076</t>
  </si>
  <si>
    <t>000010843</t>
  </si>
  <si>
    <t>000011146</t>
  </si>
  <si>
    <t>000010796</t>
  </si>
  <si>
    <t>000010845</t>
  </si>
  <si>
    <t>000011209</t>
  </si>
  <si>
    <t>000011312</t>
  </si>
  <si>
    <t>000011066</t>
  </si>
  <si>
    <t>000010949</t>
  </si>
  <si>
    <t>PE</t>
  </si>
  <si>
    <t>000010951</t>
  </si>
  <si>
    <t>000011200</t>
  </si>
  <si>
    <t>000010793</t>
  </si>
  <si>
    <t>000010794</t>
  </si>
  <si>
    <t>000011004</t>
  </si>
  <si>
    <t>000010859</t>
  </si>
  <si>
    <t>000010916</t>
  </si>
  <si>
    <t>000011002</t>
  </si>
  <si>
    <t>000011197</t>
  </si>
  <si>
    <t>000011178</t>
  </si>
  <si>
    <t>000011003</t>
  </si>
  <si>
    <t>000011356</t>
  </si>
  <si>
    <t>CE</t>
  </si>
  <si>
    <t>000010846</t>
  </si>
  <si>
    <t>000011281</t>
  </si>
  <si>
    <t>000010911</t>
  </si>
  <si>
    <t>000010912</t>
  </si>
  <si>
    <t>000010848</t>
  </si>
  <si>
    <t>000010847</t>
  </si>
  <si>
    <t>000011249</t>
  </si>
  <si>
    <t>000011355</t>
  </si>
  <si>
    <t>000010953</t>
  </si>
  <si>
    <t>000010791</t>
  </si>
  <si>
    <t>000011086</t>
  </si>
  <si>
    <t xml:space="preserve">BRASIL                   </t>
  </si>
  <si>
    <t>000011291</t>
  </si>
  <si>
    <t>000011292</t>
  </si>
  <si>
    <t>000011007</t>
  </si>
  <si>
    <t>000010996</t>
  </si>
  <si>
    <t>000011293</t>
  </si>
  <si>
    <t>000011009</t>
  </si>
  <si>
    <t>000011214</t>
  </si>
  <si>
    <t>000011307</t>
  </si>
  <si>
    <t>000011108</t>
  </si>
  <si>
    <t>000011199</t>
  </si>
  <si>
    <t>000010792</t>
  </si>
  <si>
    <t>000010882</t>
  </si>
  <si>
    <t>BA</t>
  </si>
  <si>
    <t>000010883</t>
  </si>
  <si>
    <t>000011001</t>
  </si>
  <si>
    <t>000011205</t>
  </si>
  <si>
    <t>000010844</t>
  </si>
  <si>
    <t>000010952</t>
  </si>
  <si>
    <t>000011208</t>
  </si>
  <si>
    <t>000011087</t>
  </si>
  <si>
    <t>000011314</t>
  </si>
  <si>
    <t>000011315</t>
  </si>
  <si>
    <t>000011206</t>
  </si>
  <si>
    <t>000011313</t>
  </si>
  <si>
    <t>000010875</t>
  </si>
  <si>
    <t>000011088</t>
  </si>
  <si>
    <t>000011207</t>
  </si>
  <si>
    <t>000011273</t>
  </si>
  <si>
    <t>000011098</t>
  </si>
  <si>
    <t>000010795</t>
  </si>
  <si>
    <t>000011043</t>
  </si>
  <si>
    <t>000011203</t>
  </si>
  <si>
    <t>000011204</t>
  </si>
  <si>
    <t>000011107</t>
  </si>
  <si>
    <t>000010910</t>
  </si>
  <si>
    <t>000011100</t>
  </si>
  <si>
    <t>000011000</t>
  </si>
  <si>
    <t>000010999</t>
  </si>
  <si>
    <t>000010909</t>
  </si>
  <si>
    <t>000011245</t>
  </si>
  <si>
    <t>000011049</t>
  </si>
  <si>
    <t>SC</t>
  </si>
  <si>
    <t>000011057</t>
  </si>
  <si>
    <t>000010913</t>
  </si>
  <si>
    <t>000010915</t>
  </si>
  <si>
    <t>000010924</t>
  </si>
  <si>
    <t>000010914</t>
  </si>
  <si>
    <t>000011042</t>
  </si>
  <si>
    <t>000010998</t>
  </si>
  <si>
    <t>000011277</t>
  </si>
  <si>
    <t>000010995</t>
  </si>
  <si>
    <t>000010997</t>
  </si>
  <si>
    <t>000010785</t>
  </si>
  <si>
    <t>000011021</t>
  </si>
  <si>
    <t>000010835</t>
  </si>
  <si>
    <t>000010834</t>
  </si>
  <si>
    <t>000010950</t>
  </si>
  <si>
    <t>000011090</t>
  </si>
  <si>
    <t>000011357</t>
  </si>
  <si>
    <t>000011091</t>
  </si>
  <si>
    <t>000011147</t>
  </si>
  <si>
    <t>000010886</t>
  </si>
  <si>
    <t>000011240</t>
  </si>
  <si>
    <t>000011072</t>
  </si>
  <si>
    <t>000010885</t>
  </si>
  <si>
    <t>000011142</t>
  </si>
  <si>
    <t>000011089</t>
  </si>
  <si>
    <t>000010857</t>
  </si>
  <si>
    <t>000010962</t>
  </si>
  <si>
    <t>000010966</t>
  </si>
  <si>
    <t>000011069</t>
  </si>
  <si>
    <t>000010828</t>
  </si>
  <si>
    <t>000011051</t>
  </si>
  <si>
    <t>000011031</t>
  </si>
  <si>
    <t>000010928</t>
  </si>
  <si>
    <t>000010787</t>
  </si>
  <si>
    <t>000011278</t>
  </si>
  <si>
    <t>000011006</t>
  </si>
  <si>
    <t>000011195</t>
  </si>
  <si>
    <t>000010826</t>
  </si>
  <si>
    <t>000011077</t>
  </si>
  <si>
    <t>000011078</t>
  </si>
  <si>
    <t>000011140</t>
  </si>
  <si>
    <t xml:space="preserve">                         </t>
  </si>
  <si>
    <t>000010858</t>
  </si>
  <si>
    <t>000011176</t>
  </si>
  <si>
    <t>000011056</t>
  </si>
  <si>
    <t>000011111</t>
  </si>
  <si>
    <t>000011324</t>
  </si>
  <si>
    <t>000011256</t>
  </si>
  <si>
    <t>000010849</t>
  </si>
  <si>
    <t>000011213</t>
  </si>
  <si>
    <t>000010943</t>
  </si>
  <si>
    <t>000011079</t>
  </si>
  <si>
    <t>000011065</t>
  </si>
  <si>
    <t>000011050</t>
  </si>
  <si>
    <t>000011339</t>
  </si>
  <si>
    <t>000011266</t>
  </si>
  <si>
    <t>000011360</t>
  </si>
  <si>
    <t>000011306</t>
  </si>
  <si>
    <t>000011302</t>
  </si>
  <si>
    <t>000011352</t>
  </si>
  <si>
    <t>VendUFs</t>
  </si>
  <si>
    <t>DevPr</t>
  </si>
  <si>
    <t>DevEx</t>
  </si>
  <si>
    <t>DevUfs</t>
  </si>
  <si>
    <t>D</t>
  </si>
  <si>
    <t>000008217</t>
  </si>
  <si>
    <t>000003160</t>
  </si>
  <si>
    <t>000023440</t>
  </si>
  <si>
    <t>000024978</t>
  </si>
  <si>
    <t>000003114</t>
  </si>
  <si>
    <t>SE</t>
  </si>
  <si>
    <t>000003184</t>
  </si>
  <si>
    <t>000001447</t>
  </si>
  <si>
    <t>000001516</t>
  </si>
  <si>
    <t>000001545</t>
  </si>
  <si>
    <t>000001467</t>
  </si>
  <si>
    <t>000028389</t>
  </si>
  <si>
    <t>000029186</t>
  </si>
  <si>
    <t>000060175</t>
  </si>
  <si>
    <t>000000045</t>
  </si>
  <si>
    <t>000000041</t>
  </si>
  <si>
    <t>000000046</t>
  </si>
  <si>
    <t>000000058</t>
  </si>
  <si>
    <t>000000034</t>
  </si>
  <si>
    <t>000000033</t>
  </si>
  <si>
    <t>000010346</t>
  </si>
  <si>
    <t>000002939</t>
  </si>
  <si>
    <t>000002938</t>
  </si>
  <si>
    <t>000002304</t>
  </si>
  <si>
    <t>000002340</t>
  </si>
  <si>
    <t>000013004</t>
  </si>
  <si>
    <t>000011128</t>
  </si>
  <si>
    <t>000002729</t>
  </si>
  <si>
    <t>000002806</t>
  </si>
  <si>
    <t>000002897</t>
  </si>
  <si>
    <t>000002900</t>
  </si>
  <si>
    <t>000006139</t>
  </si>
  <si>
    <t>000006211</t>
  </si>
  <si>
    <t>000000153</t>
  </si>
  <si>
    <t>000011126</t>
  </si>
  <si>
    <t>000004361</t>
  </si>
  <si>
    <t>000004703</t>
  </si>
  <si>
    <t>000002953</t>
  </si>
  <si>
    <t>000003064</t>
  </si>
  <si>
    <t>000000423</t>
  </si>
  <si>
    <t>000015301</t>
  </si>
  <si>
    <t>000000217</t>
  </si>
  <si>
    <t>000000244</t>
  </si>
  <si>
    <t>000001102</t>
  </si>
  <si>
    <t>000001082</t>
  </si>
  <si>
    <t>000001101</t>
  </si>
  <si>
    <t>000001164</t>
  </si>
  <si>
    <t>000006054</t>
  </si>
  <si>
    <t>000006055</t>
  </si>
  <si>
    <t>000214082</t>
  </si>
  <si>
    <t>000211615</t>
  </si>
  <si>
    <t>000005050</t>
  </si>
  <si>
    <t>000010803</t>
  </si>
  <si>
    <t>000011327</t>
  </si>
  <si>
    <t>000011190</t>
  </si>
  <si>
    <t>000011290</t>
  </si>
  <si>
    <t>000011030</t>
  </si>
  <si>
    <t>PI</t>
  </si>
  <si>
    <t>000010888</t>
  </si>
  <si>
    <t>000011191</t>
  </si>
  <si>
    <t>000011288</t>
  </si>
  <si>
    <t>000011220</t>
  </si>
  <si>
    <t>000011223</t>
  </si>
  <si>
    <t>000011010</t>
  </si>
  <si>
    <t>000011289</t>
  </si>
  <si>
    <t>000011255</t>
  </si>
  <si>
    <t>000011359</t>
  </si>
  <si>
    <t>000011106</t>
  </si>
  <si>
    <t>000011055</t>
  </si>
  <si>
    <t>000011237</t>
  </si>
  <si>
    <t>000011338</t>
  </si>
  <si>
    <t>000011029</t>
  </si>
  <si>
    <t>MA</t>
  </si>
  <si>
    <t>000010936</t>
  </si>
  <si>
    <t>000010958</t>
  </si>
  <si>
    <t>000011125</t>
  </si>
  <si>
    <t xml:space="preserve">  </t>
  </si>
  <si>
    <t xml:space="preserve">000061                   </t>
  </si>
  <si>
    <t>000011300</t>
  </si>
  <si>
    <t>000011353</t>
  </si>
  <si>
    <t>000010806</t>
  </si>
  <si>
    <t>000011092</t>
  </si>
  <si>
    <t>000011040</t>
  </si>
  <si>
    <t>000011333</t>
  </si>
  <si>
    <t>000011096</t>
  </si>
  <si>
    <t>000011138</t>
  </si>
  <si>
    <t>000011336</t>
  </si>
  <si>
    <t>000011344</t>
  </si>
  <si>
    <t>000011316</t>
  </si>
  <si>
    <t>000011137</t>
  </si>
  <si>
    <t>000010990</t>
  </si>
  <si>
    <t>000010894</t>
  </si>
  <si>
    <t>000010991</t>
  </si>
  <si>
    <t>000010853</t>
  </si>
  <si>
    <t>000010992</t>
  </si>
  <si>
    <t>000011039</t>
  </si>
  <si>
    <t>000010855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</si>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</sst>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3" fontId="0" fillId="0" borderId="0" xfId="1" applyFont="1"/>
    <xf numFmtId="43" fontId="0" fillId="0" borderId="0" xfId="1" applyNumberFormat="1" applyFont="1"/>
    <xf numFmtId="43" fontId="0" fillId="0" borderId="0" xfId="0" applyNumberFormat="1"/>
  </cellXfs>
  <cellStyles count="2">
    <cellStyle name="Normal" xfId="0" builtinId="0"/>
    <cellStyle name="Vírgula" xfId="1" builtinId="3"/>
  </cellStyles>
  <dxfs count="6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 de agrocete" connectionId="5" autoFormatId="16" applyNumberFormats="0" applyBorderFormats="0" applyFontFormats="0" applyPatternFormats="0" applyAlignmentFormats="0" applyWidthHeightFormats="0">
  <queryTableRefresh nextId="12" unboundColumnsRight="9">
    <queryTableFields count="10">
      <queryTableField id="2" name="REGISTRO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name="Consulta de agrocete" connectionId="7" autoFormatId="16" applyNumberFormats="0" applyBorderFormats="0" applyFontFormats="0" applyPatternFormats="0" applyAlignmentFormats="0" applyWidthHeightFormats="0">
  <queryTableRefresh nextId="5">
    <queryTableFields count="4">
      <queryTableField id="1" name="REGISTRO" tableColumnId="1"/>
      <queryTableField id="2" name="PRODUTO" tableColumnId="2"/>
      <queryTableField id="3" name="DESCRIÇÃO" tableColumnId="3"/>
      <queryTableField id="4" name="SLDINI" tableColumnId="4"/>
    </queryTableFields>
  </queryTableRefresh>
</queryTable>
</file>

<file path=xl/queryTables/queryTable3.xml><?xml version="1.0" encoding="utf-8"?>
<queryTable xmlns="http://schemas.openxmlformats.org/spreadsheetml/2006/main" name="Consulta de agrocete" connectionId="6" autoFormatId="16" applyNumberFormats="0" applyBorderFormats="0" applyFontFormats="0" applyPatternFormats="0" applyAlignmentFormats="0" applyWidthHeightFormats="0">
  <queryTableRefresh nextId="5">
    <queryTableFields count="4">
      <queryTableField id="1" name="REGISTRO" tableColumnId="1"/>
      <queryTableField id="2" name="PRODUTO" tableColumnId="2"/>
      <queryTableField id="3" name="DESCRIÇÃO" tableColumnId="3"/>
      <queryTableField id="4" name="SLDFIM" tableColumnId="4"/>
    </queryTableFields>
  </queryTableRefresh>
</queryTable>
</file>

<file path=xl/queryTables/queryTable4.xml><?xml version="1.0" encoding="utf-8"?>
<queryTable xmlns="http://schemas.openxmlformats.org/spreadsheetml/2006/main" name="Consulta de agrocete" connectionId="4" autoFormatId="16" applyNumberFormats="0" applyBorderFormats="0" applyFontFormats="0" applyPatternFormats="0" applyAlignmentFormats="0" applyWidthHeightFormats="0">
  <queryTableRefresh nextId="7">
    <queryTableFields count="6">
      <queryTableField id="1" name="REGISTRO" tableColumnId="1"/>
      <queryTableField id="2" name="PRODUTO" tableColumnId="2"/>
      <queryTableField id="3" name="DESCRIÇÃO" tableColumnId="3"/>
      <queryTableField id="4" name="PRODUZIDO" tableColumnId="4"/>
      <queryTableField id="5" name="OP" tableColumnId="5"/>
      <queryTableField id="6" name="DT. PRODUÇÃO" tableColumnId="6"/>
    </queryTableFields>
  </queryTableRefresh>
</queryTable>
</file>

<file path=xl/queryTables/queryTable5.xml><?xml version="1.0" encoding="utf-8"?>
<queryTable xmlns="http://schemas.openxmlformats.org/spreadsheetml/2006/main" name="Consulta de agrocete" connectionId="10" autoFormatId="16" applyNumberFormats="0" applyBorderFormats="0" applyFontFormats="0" applyPatternFormats="0" applyAlignmentFormats="0" applyWidthHeightFormats="0">
  <queryTableRefresh nextId="9">
    <queryTableFields count="8">
      <queryTableField id="1" name="TIPO" tableColumnId="1"/>
      <queryTableField id="2" name="REGISTRO" tableColumnId="2"/>
      <queryTableField id="3" name="PRODUTO" tableColumnId="3"/>
      <queryTableField id="4" name="DESCRIÇÃO" tableColumnId="4"/>
      <queryTableField id="5" name="VENDAS" tableColumnId="5"/>
      <queryTableField id="6" name="DOC" tableColumnId="6"/>
      <queryTableField id="7" name="EMISSÃO" tableColumnId="7"/>
      <queryTableField id="8" name="UF" tableColumnId="8"/>
    </queryTableFields>
  </queryTableRefresh>
</queryTable>
</file>

<file path=xl/queryTables/queryTable6.xml><?xml version="1.0" encoding="utf-8"?>
<queryTable xmlns="http://schemas.openxmlformats.org/spreadsheetml/2006/main" name="Consulta de agrocete" connectionId="8" autoFormatId="16" applyNumberFormats="0" applyBorderFormats="0" applyFontFormats="0" applyPatternFormats="0" applyAlignmentFormats="0" applyWidthHeightFormats="0">
  <queryTableRefresh nextId="10">
    <queryTableFields count="9">
      <queryTableField id="1" name="TIPO" tableColumnId="1"/>
      <queryTableField id="2" name="REGISTRO" tableColumnId="2"/>
      <queryTableField id="3" name="PRODUTO" tableColumnId="3"/>
      <queryTableField id="4" name="DESCRIÇÃO" tableColumnId="4"/>
      <queryTableField id="5" name="VENDAS" tableColumnId="5"/>
      <queryTableField id="6" name="DOC" tableColumnId="6"/>
      <queryTableField id="7" name="EMISSÃO" tableColumnId="7"/>
      <queryTableField id="8" name="UF" tableColumnId="8"/>
      <queryTableField id="9" name="PAÍS" tableColumnId="9"/>
    </queryTableFields>
  </queryTableRefresh>
</queryTable>
</file>

<file path=xl/queryTables/queryTable7.xml><?xml version="1.0" encoding="utf-8"?>
<queryTable xmlns="http://schemas.openxmlformats.org/spreadsheetml/2006/main" name="Consulta de agrocete" connectionId="9" autoFormatId="16" applyNumberFormats="0" applyBorderFormats="0" applyFontFormats="0" applyPatternFormats="0" applyAlignmentFormats="0" applyWidthHeightFormats="0">
  <queryTableRefresh nextId="10">
    <queryTableFields count="9">
      <queryTableField id="1" name="TIPO" tableColumnId="1"/>
      <queryTableField id="2" name="REGISTRO" tableColumnId="2"/>
      <queryTableField id="3" name="PRODUTO" tableColumnId="3"/>
      <queryTableField id="4" name="DESCRIÇÃO" tableColumnId="4"/>
      <queryTableField id="5" name="VENDAS" tableColumnId="5"/>
      <queryTableField id="6" name="DOC" tableColumnId="6"/>
      <queryTableField id="7" name="EMISSÃO" tableColumnId="7"/>
      <queryTableField id="8" name="UF" tableColumnId="8"/>
      <queryTableField id="9" name="PAÍS" tableColumnId="9"/>
    </queryTableFields>
  </queryTableRefresh>
</queryTable>
</file>

<file path=xl/queryTables/queryTable8.xml><?xml version="1.0" encoding="utf-8"?>
<queryTable xmlns="http://schemas.openxmlformats.org/spreadsheetml/2006/main" name="Consulta de agrocete" connectionId="3" autoFormatId="16" applyNumberFormats="0" applyBorderFormats="0" applyFontFormats="0" applyPatternFormats="0" applyAlignmentFormats="0" applyWidthHeightFormats="0">
  <queryTableRefresh nextId="10">
    <queryTableFields count="9">
      <queryTableField id="1" name="TIPO" tableColumnId="1"/>
      <queryTableField id="2" name="REGISTRO" tableColumnId="2"/>
      <queryTableField id="3" name="PRODUTO" tableColumnId="3"/>
      <queryTableField id="4" name="DESCRIÇÃO" tableColumnId="4"/>
      <queryTableField id="5" name="VENDAS" tableColumnId="5"/>
      <queryTableField id="6" name="DOC" tableColumnId="6"/>
      <queryTableField id="7" name="EMISSÃO" tableColumnId="7"/>
      <queryTableField id="8" name="UF" tableColumnId="8"/>
      <queryTableField id="9" name="PAÍS" tableColumnId="9"/>
    </queryTableFields>
  </queryTableRefresh>
</queryTable>
</file>

<file path=xl/queryTables/queryTable9.xml><?xml version="1.0" encoding="utf-8"?>
<queryTable xmlns="http://schemas.openxmlformats.org/spreadsheetml/2006/main" name="Consulta de agrocete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TIPO" tableColumnId="1"/>
      <queryTableField id="2" name="REGISTRO" tableColumnId="2"/>
      <queryTableField id="3" name="PRODUTO" tableColumnId="3"/>
      <queryTableField id="4" name="DESCRIÇÃO" tableColumnId="4"/>
      <queryTableField id="5" name="VENDAS" tableColumnId="5"/>
      <queryTableField id="6" name="DOC" tableColumnId="6"/>
      <queryTableField id="7" name="EMISSÃO" tableColumnId="7"/>
      <queryTableField id="8" name="UF" tableColumnId="8"/>
      <queryTableField id="9" name="PAÍS" tableColumnId="9"/>
    </queryTableFields>
  </queryTableRefresh>
</queryTable>
</file>

<file path=xl/queryTables/queryTable10.xml><?xml version="1.0" encoding="utf-8"?>
<queryTable xmlns="http://schemas.openxmlformats.org/spreadsheetml/2006/main" name="Consulta de agrocete" connectionId="2" autoFormatId="16" applyNumberFormats="0" applyBorderFormats="0" applyFontFormats="0" applyPatternFormats="0" applyAlignmentFormats="0" applyWidthHeightFormats="0">
  <queryTableRefresh nextId="10">
    <queryTableFields count="9">
      <queryTableField id="1" name="TIPO" tableColumnId="1"/>
      <queryTableField id="2" name="REGISTRO" tableColumnId="2"/>
      <queryTableField id="3" name="PRODUTO" tableColumnId="3"/>
      <queryTableField id="4" name="DESCRIÇÃO" tableColumnId="4"/>
      <queryTableField id="5" name="VENDAS" tableColumnId="5"/>
      <queryTableField id="6" name="DOC" tableColumnId="6"/>
      <queryTableField id="7" name="EMISSÃO" tableColumnId="7"/>
      <queryTableField id="8" name="UF" tableColumnId="8"/>
      <queryTableField id="9" name="PAÍ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id="3" name="REGISTROS" displayName="REGISTROS" ref="B2:K112" tableType="queryTable" totalsRowShown="0">
  <autoFilter ref="B2:K112"/>
  <tableColumns count="10">
    <tableColumn id="2" uniqueName="2" name="REGISTRO" queryTableFieldId="2"/>
    <tableColumn id="3" uniqueName="3" name="Estoque Inicial" queryTableFieldId="3" dataCellStyle="Vírgula">
      <calculatedColumnFormula>SUMIF(SLDINI[REGISTRO],REGISTROS[[#This Row],[REGISTRO]],SLDINI[SLDINI])</calculatedColumnFormula>
    </tableColumn>
    <tableColumn id="4" uniqueName="4" name="Estoque Final" queryTableFieldId="4" dataCellStyle="Vírgula">
      <calculatedColumnFormula>SUMIF(SLDFINAL[REGISTRO],REGISTROS[[#This Row],[REGISTRO]],SLDFINAL[SLDFIM])</calculatedColumnFormula>
    </tableColumn>
    <tableColumn id="5" uniqueName="5" name="Produção" queryTableFieldId="5" dataCellStyle="Vírgula">
      <calculatedColumnFormula>SUMIF(producoes[REGISTRO],REGISTROS[[#This Row],[REGISTRO]],producoes[PRODUZIDO])</calculatedColumnFormula>
    </tableColumn>
    <tableColumn id="6" uniqueName="6" name="VendPR" queryTableFieldId="6" dataDxfId="5" dataCellStyle="Vírgula">
      <calculatedColumnFormula>SUMIF(VendasPr[REGISTRO],REGISTROS[[#This Row],[REGISTRO]],VendasPr[VENDAS])</calculatedColumnFormula>
    </tableColumn>
    <tableColumn id="7" uniqueName="7" name="VendEx" queryTableFieldId="7" dataDxfId="4" dataCellStyle="Vírgula">
      <calculatedColumnFormula>SUMIF(VendasEx[REGISTRO],REGISTROS[[#This Row],[REGISTRO]],VendasEx[VENDAS])</calculatedColumnFormula>
    </tableColumn>
    <tableColumn id="8" uniqueName="8" name="VendUFs" queryTableFieldId="8" dataDxfId="3" dataCellStyle="Vírgula">
      <calculatedColumnFormula>SUMIF(VENDASUFS[REGISTRO],REGISTROS[[#This Row],[REGISTRO]],VENDASUFS[VENDAS])</calculatedColumnFormula>
    </tableColumn>
    <tableColumn id="9" uniqueName="9" name="DevPr" queryTableFieldId="9" dataDxfId="2" dataCellStyle="Vírgula">
      <calculatedColumnFormula>SUMIF(DEVPR[REGISTRO],REGISTROS[[#This Row],[REGISTRO]],DEVPR[VENDAS])</calculatedColumnFormula>
    </tableColumn>
    <tableColumn id="10" uniqueName="10" name="DevEx" queryTableFieldId="10" dataDxfId="1" dataCellStyle="Vírgula">
      <calculatedColumnFormula>SUMIF(DEVEX[REGISTRO],REGISTROS[[#This Row],[REGISTRO]],DEVEX[VENDAS])</calculatedColumnFormula>
    </tableColumn>
    <tableColumn id="11" uniqueName="11" name="DevUfs" queryTableFieldId="11" dataDxfId="0" dataCellStyle="Vírgula">
      <calculatedColumnFormula>SUMIF(devufs[REGISTRO],REGISTROS[[#This Row],[REGISTRO]],devufs[VENDAS])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LDINI" displayName="SLDINI" ref="B2:E1137" tableType="queryTable" totalsRowShown="0">
  <autoFilter ref="B2:E1137"/>
  <tableColumns count="4">
    <tableColumn id="1" uniqueName="1" name="REGISTRO" queryTableFieldId="1"/>
    <tableColumn id="2" uniqueName="2" name="PRODUTO" queryTableFieldId="2"/>
    <tableColumn id="3" uniqueName="3" name="DESCRIÇÃO" queryTableFieldId="3"/>
    <tableColumn id="4" uniqueName="4" name="SLDINI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SLDFINAL" displayName="SLDFINAL" ref="B2:E1169" tableType="queryTable" totalsRowShown="0">
  <autoFilter ref="B2:E1169"/>
  <tableColumns count="4">
    <tableColumn id="1" uniqueName="1" name="REGISTRO" queryTableFieldId="1"/>
    <tableColumn id="2" uniqueName="2" name="PRODUTO" queryTableFieldId="2"/>
    <tableColumn id="3" uniqueName="3" name="DESCRIÇÃO" queryTableFieldId="3"/>
    <tableColumn id="4" uniqueName="4" name="SLDFIM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oes" displayName="producoes" ref="B2:G489" tableType="queryTable" totalsRowShown="0">
  <autoFilter ref="B2:G489"/>
  <tableColumns count="6">
    <tableColumn id="1" uniqueName="1" name="REGISTRO" queryTableFieldId="1"/>
    <tableColumn id="2" uniqueName="2" name="PRODUTO" queryTableFieldId="2"/>
    <tableColumn id="3" uniqueName="3" name="DESCRIÇÃO" queryTableFieldId="3"/>
    <tableColumn id="4" uniqueName="4" name="PRODUZIDO" queryTableFieldId="4"/>
    <tableColumn id="5" uniqueName="5" name="OP" queryTableFieldId="5"/>
    <tableColumn id="6" uniqueName="6" name="DT. PRODUÇÃO" queryTableField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endasPr" displayName="VendasPr" ref="B2:I621" tableType="queryTable" totalsRowShown="0">
  <autoFilter ref="B2:I621"/>
  <tableColumns count="8">
    <tableColumn id="1" uniqueName="1" name="TIPO" queryTableFieldId="1"/>
    <tableColumn id="2" uniqueName="2" name="REGISTRO" queryTableFieldId="2"/>
    <tableColumn id="3" uniqueName="3" name="PRODUTO" queryTableFieldId="3"/>
    <tableColumn id="4" uniqueName="4" name="DESCRIÇÃO" queryTableFieldId="4"/>
    <tableColumn id="5" uniqueName="5" name="VENDAS" queryTableFieldId="5"/>
    <tableColumn id="6" uniqueName="6" name="DOC" queryTableFieldId="6"/>
    <tableColumn id="7" uniqueName="7" name="EMISSÃO" queryTableFieldId="7"/>
    <tableColumn id="8" uniqueName="8" name="UF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endasEx" displayName="VendasEx" ref="B2:J28" tableType="queryTable" totalsRowShown="0">
  <autoFilter ref="B2:J28"/>
  <tableColumns count="9">
    <tableColumn id="1" uniqueName="1" name="TIPO" queryTableFieldId="1"/>
    <tableColumn id="2" uniqueName="2" name="REGISTRO" queryTableFieldId="2"/>
    <tableColumn id="3" uniqueName="3" name="PRODUTO" queryTableFieldId="3"/>
    <tableColumn id="4" uniqueName="4" name="DESCRIÇÃO" queryTableFieldId="4"/>
    <tableColumn id="5" uniqueName="5" name="VENDAS" queryTableFieldId="5"/>
    <tableColumn id="6" uniqueName="6" name="DOC" queryTableFieldId="6"/>
    <tableColumn id="7" uniqueName="7" name="EMISSÃO" queryTableFieldId="7"/>
    <tableColumn id="8" uniqueName="8" name="UF" queryTableFieldId="8"/>
    <tableColumn id="9" uniqueName="9" name="PAÍS" queryTableField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VENDASUFS" displayName="VENDASUFS" ref="B2:J733" tableType="queryTable" totalsRowShown="0">
  <autoFilter ref="B2:J733"/>
  <tableColumns count="9">
    <tableColumn id="1" uniqueName="1" name="TIPO" queryTableFieldId="1"/>
    <tableColumn id="2" uniqueName="2" name="REGISTRO" queryTableFieldId="2"/>
    <tableColumn id="3" uniqueName="3" name="PRODUTO" queryTableFieldId="3"/>
    <tableColumn id="4" uniqueName="4" name="DESCRIÇÃO" queryTableFieldId="4"/>
    <tableColumn id="5" uniqueName="5" name="VENDAS" queryTableFieldId="5"/>
    <tableColumn id="6" uniqueName="6" name="DOC" queryTableFieldId="6"/>
    <tableColumn id="7" uniqueName="7" name="EMISSÃO" queryTableFieldId="7"/>
    <tableColumn id="8" uniqueName="8" name="UF" queryTableFieldId="8"/>
    <tableColumn id="9" uniqueName="9" name="PAÍS" queryTableField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EVPR" displayName="DEVPR" ref="B2:J28" tableType="queryTable" totalsRowShown="0">
  <autoFilter ref="B2:J28"/>
  <tableColumns count="9">
    <tableColumn id="1" uniqueName="1" name="TIPO" queryTableFieldId="1"/>
    <tableColumn id="2" uniqueName="2" name="REGISTRO" queryTableFieldId="2"/>
    <tableColumn id="3" uniqueName="3" name="PRODUTO" queryTableFieldId="3"/>
    <tableColumn id="4" uniqueName="4" name="DESCRIÇÃO" queryTableFieldId="4"/>
    <tableColumn id="5" uniqueName="5" name="VENDAS" queryTableFieldId="5"/>
    <tableColumn id="6" uniqueName="6" name="DOC" queryTableFieldId="6"/>
    <tableColumn id="7" uniqueName="7" name="EMISSÃO" queryTableFieldId="7"/>
    <tableColumn id="8" uniqueName="8" name="UF" queryTableFieldId="8"/>
    <tableColumn id="9" uniqueName="9" name="PAÍS" queryTableField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EVEX" displayName="DEVEX" ref="B2:J3" tableType="queryTable" insertRow="1" totalsRowShown="0">
  <autoFilter ref="B2:J3"/>
  <tableColumns count="9">
    <tableColumn id="1" uniqueName="1" name="TIPO" queryTableFieldId="1"/>
    <tableColumn id="2" uniqueName="2" name="REGISTRO" queryTableFieldId="2"/>
    <tableColumn id="3" uniqueName="3" name="PRODUTO" queryTableFieldId="3"/>
    <tableColumn id="4" uniqueName="4" name="DESCRIÇÃO" queryTableFieldId="4"/>
    <tableColumn id="5" uniqueName="5" name="VENDAS" queryTableFieldId="5"/>
    <tableColumn id="6" uniqueName="6" name="DOC" queryTableFieldId="6"/>
    <tableColumn id="7" uniqueName="7" name="EMISSÃO" queryTableFieldId="7"/>
    <tableColumn id="8" uniqueName="8" name="UF" queryTableFieldId="8"/>
    <tableColumn id="9" uniqueName="9" name="PAÍS" queryTableField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evufs" displayName="devufs" ref="B2:J88" tableType="queryTable" totalsRowShown="0">
  <autoFilter ref="B2:J88"/>
  <tableColumns count="9">
    <tableColumn id="1" uniqueName="1" name="TIPO" queryTableFieldId="1"/>
    <tableColumn id="2" uniqueName="2" name="REGISTRO" queryTableFieldId="2"/>
    <tableColumn id="3" uniqueName="3" name="PRODUTO" queryTableFieldId="3"/>
    <tableColumn id="4" uniqueName="4" name="DESCRIÇÃO" queryTableFieldId="4"/>
    <tableColumn id="5" uniqueName="5" name="VENDAS" queryTableFieldId="5"/>
    <tableColumn id="6" uniqueName="6" name="DOC" queryTableFieldId="6"/>
    <tableColumn id="7" uniqueName="7" name="EMISSÃO" queryTableFieldId="7"/>
    <tableColumn id="8" uniqueName="8" name="UF" queryTableFieldId="8"/>
    <tableColumn id="9" uniqueName="9" name="PAÍS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3"/>
  <sheetViews>
    <sheetView tabSelected="1" workbookViewId="0">
      <selection activeCell="C3" sqref="C3"/>
    </sheetView>
  </sheetViews>
  <sheetFormatPr defaultRowHeight="15" x14ac:dyDescent="0.25"/>
  <cols>
    <col min="3" max="3" width="10.7109375" bestFit="1" customWidth="1"/>
  </cols>
  <sheetData>
    <row r="2" spans="2:5" x14ac:dyDescent="0.25">
      <c r="B2" t="s">
        <v>0</v>
      </c>
      <c r="C2" s="1" t="s">
        <v>3</v>
      </c>
      <c r="E2" s="1" t="str">
        <f>MID(C2,7,4)&amp;MID(C2,4,2)&amp;MID(C2,1,2)</f>
        <v>20131231</v>
      </c>
    </row>
    <row r="3" spans="2:5" x14ac:dyDescent="0.25">
      <c r="B3" t="s">
        <v>1</v>
      </c>
      <c r="C3" s="1" t="s">
        <v>2</v>
      </c>
      <c r="E3" s="1" t="str">
        <f>MID(C3,7,4)&amp;MID(C3,4,2)&amp;MID(C3,1,2)</f>
        <v>20140331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8"/>
  <sheetViews>
    <sheetView workbookViewId="0">
      <selection activeCell="C8" sqref="C8"/>
    </sheetView>
  </sheetViews>
  <sheetFormatPr defaultRowHeight="15" x14ac:dyDescent="0.25"/>
  <cols>
    <col min="2" max="3" width="17.28515625" bestFit="1" customWidth="1"/>
    <col min="4" max="4" width="15.140625" bestFit="1" customWidth="1"/>
    <col min="5" max="5" width="11.5703125" bestFit="1" customWidth="1"/>
    <col min="6" max="6" width="10.5703125" bestFit="1" customWidth="1"/>
    <col min="7" max="8" width="11.5703125" bestFit="1" customWidth="1"/>
    <col min="9" max="9" width="10.5703125" bestFit="1" customWidth="1"/>
    <col min="10" max="10" width="8.7109375" bestFit="1" customWidth="1"/>
    <col min="11" max="11" width="9.7109375" bestFit="1" customWidth="1"/>
  </cols>
  <sheetData>
    <row r="2" spans="2:11" x14ac:dyDescent="0.25">
      <c r="B2" t="s">
        <v>4</v>
      </c>
      <c r="C2" t="s">
        <v>1599</v>
      </c>
      <c r="D2" t="s">
        <v>1600</v>
      </c>
      <c r="E2" t="s">
        <v>1970</v>
      </c>
      <c r="F2" t="s">
        <v>2229</v>
      </c>
      <c r="G2" t="s">
        <v>2244</v>
      </c>
      <c r="H2" t="s">
        <v>2457</v>
      </c>
      <c r="I2" t="s">
        <v>2458</v>
      </c>
      <c r="J2" t="s">
        <v>2459</v>
      </c>
      <c r="K2" t="s">
        <v>2460</v>
      </c>
    </row>
    <row r="3" spans="2:11" x14ac:dyDescent="0.25">
      <c r="B3" t="s">
        <v>17</v>
      </c>
      <c r="C3" s="2">
        <f>SUMIF(SLDINI[REGISTRO],REGISTROS[[#This Row],[REGISTRO]],SLDINI[SLDINI])</f>
        <v>69883</v>
      </c>
      <c r="D3" s="2">
        <f>SUMIF(SLDFINAL[REGISTRO],REGISTROS[[#This Row],[REGISTRO]],SLDFINAL[SLDFIM])</f>
        <v>61335</v>
      </c>
      <c r="E3" s="2">
        <f>SUMIF(producoes[REGISTRO],REGISTROS[[#This Row],[REGISTRO]],producoes[PRODUZIDO])</f>
        <v>49156</v>
      </c>
      <c r="F3" s="2">
        <f>SUMIF(VendasPr[REGISTRO],REGISTROS[[#This Row],[REGISTRO]],VendasPr[VENDAS])</f>
        <v>4280</v>
      </c>
      <c r="G3" s="2">
        <f>SUMIF(VendasEx[REGISTRO],REGISTROS[[#This Row],[REGISTRO]],VendasEx[VENDAS])</f>
        <v>39160</v>
      </c>
      <c r="H3" s="2">
        <f>SUMIF(VENDASUFS[REGISTRO],REGISTROS[[#This Row],[REGISTRO]],VENDASUFS[VENDAS])</f>
        <v>15504</v>
      </c>
      <c r="I3" s="3">
        <f>SUMIF(DEVPR[REGISTRO],REGISTROS[[#This Row],[REGISTRO]],DEVPR[VENDAS])</f>
        <v>0</v>
      </c>
      <c r="J3" s="3">
        <f>SUMIF(DEVEX[REGISTRO],REGISTROS[[#This Row],[REGISTRO]],DEVEX[VENDAS])</f>
        <v>0</v>
      </c>
      <c r="K3" s="3">
        <f>SUMIF(devufs[REGISTRO],REGISTROS[[#This Row],[REGISTRO]],devufs[VENDAS])</f>
        <v>1240</v>
      </c>
    </row>
    <row r="4" spans="2:11" x14ac:dyDescent="0.25">
      <c r="B4" t="s">
        <v>1595</v>
      </c>
      <c r="C4" s="2">
        <f>SUMIF(SLDINI[REGISTRO],REGISTROS[[#This Row],[REGISTRO]],SLDINI[SLDINI])</f>
        <v>0</v>
      </c>
      <c r="D4" s="2">
        <f>SUMIF(SLDFINAL[REGISTRO],REGISTROS[[#This Row],[REGISTRO]],SLDFINAL[SLDFIM])</f>
        <v>0</v>
      </c>
      <c r="E4" s="2">
        <f>SUMIF(producoes[REGISTRO],REGISTROS[[#This Row],[REGISTRO]],producoes[PRODUZIDO])</f>
        <v>0</v>
      </c>
      <c r="F4" s="2">
        <f>SUMIF(VendasPr[REGISTRO],REGISTROS[[#This Row],[REGISTRO]],VendasPr[VENDAS])</f>
        <v>0</v>
      </c>
      <c r="G4" s="2">
        <f>SUMIF(VendasEx[REGISTRO],REGISTROS[[#This Row],[REGISTRO]],VendasEx[VENDAS])</f>
        <v>0</v>
      </c>
      <c r="H4" s="2">
        <f>SUMIF(VENDASUFS[REGISTRO],REGISTROS[[#This Row],[REGISTRO]],VENDASUFS[VENDAS])</f>
        <v>0</v>
      </c>
      <c r="I4" s="3">
        <f>SUMIF(DEVPR[REGISTRO],REGISTROS[[#This Row],[REGISTRO]],DEVPR[VENDAS])</f>
        <v>0</v>
      </c>
      <c r="J4" s="3">
        <f>SUMIF(DEVEX[REGISTRO],REGISTROS[[#This Row],[REGISTRO]],DEVEX[VENDAS])</f>
        <v>0</v>
      </c>
      <c r="K4" s="3">
        <f>SUMIF(devufs[REGISTRO],REGISTROS[[#This Row],[REGISTRO]],devufs[VENDAS])</f>
        <v>0</v>
      </c>
    </row>
    <row r="5" spans="2:11" x14ac:dyDescent="0.25">
      <c r="B5" t="s">
        <v>598</v>
      </c>
      <c r="C5" s="2">
        <f>SUMIF(SLDINI[REGISTRO],REGISTROS[[#This Row],[REGISTRO]],SLDINI[SLDINI])</f>
        <v>6300</v>
      </c>
      <c r="D5" s="2">
        <f>SUMIF(SLDFINAL[REGISTRO],REGISTROS[[#This Row],[REGISTRO]],SLDFINAL[SLDFIM])</f>
        <v>6400</v>
      </c>
      <c r="E5" s="2">
        <f>SUMIF(producoes[REGISTRO],REGISTROS[[#This Row],[REGISTRO]],producoes[PRODUZIDO])</f>
        <v>0</v>
      </c>
      <c r="F5" s="2">
        <f>SUMIF(VendasPr[REGISTRO],REGISTROS[[#This Row],[REGISTRO]],VendasPr[VENDAS])</f>
        <v>0</v>
      </c>
      <c r="G5" s="2">
        <f>SUMIF(VendasEx[REGISTRO],REGISTROS[[#This Row],[REGISTRO]],VendasEx[VENDAS])</f>
        <v>0</v>
      </c>
      <c r="H5" s="2">
        <f>SUMIF(VENDASUFS[REGISTRO],REGISTROS[[#This Row],[REGISTRO]],VENDASUFS[VENDAS])</f>
        <v>0</v>
      </c>
      <c r="I5" s="3">
        <f>SUMIF(DEVPR[REGISTRO],REGISTROS[[#This Row],[REGISTRO]],DEVPR[VENDAS])</f>
        <v>0</v>
      </c>
      <c r="J5" s="3">
        <f>SUMIF(DEVEX[REGISTRO],REGISTROS[[#This Row],[REGISTRO]],DEVEX[VENDAS])</f>
        <v>0</v>
      </c>
      <c r="K5" s="3">
        <f>SUMIF(devufs[REGISTRO],REGISTROS[[#This Row],[REGISTRO]],devufs[VENDAS])</f>
        <v>100</v>
      </c>
    </row>
    <row r="6" spans="2:11" x14ac:dyDescent="0.25">
      <c r="B6" t="s">
        <v>896</v>
      </c>
      <c r="C6" s="2">
        <f>SUMIF(SLDINI[REGISTRO],REGISTROS[[#This Row],[REGISTRO]],SLDINI[SLDINI])</f>
        <v>120</v>
      </c>
      <c r="D6" s="2">
        <f>SUMIF(SLDFINAL[REGISTRO],REGISTROS[[#This Row],[REGISTRO]],SLDFINAL[SLDFIM])</f>
        <v>120</v>
      </c>
      <c r="E6" s="2">
        <f>SUMIF(producoes[REGISTRO],REGISTROS[[#This Row],[REGISTRO]],producoes[PRODUZIDO])</f>
        <v>0</v>
      </c>
      <c r="F6" s="2">
        <f>SUMIF(VendasPr[REGISTRO],REGISTROS[[#This Row],[REGISTRO]],VendasPr[VENDAS])</f>
        <v>0</v>
      </c>
      <c r="G6" s="2">
        <f>SUMIF(VendasEx[REGISTRO],REGISTROS[[#This Row],[REGISTRO]],VendasEx[VENDAS])</f>
        <v>0</v>
      </c>
      <c r="H6" s="2">
        <f>SUMIF(VENDASUFS[REGISTRO],REGISTROS[[#This Row],[REGISTRO]],VENDASUFS[VENDAS])</f>
        <v>0</v>
      </c>
      <c r="I6" s="3">
        <f>SUMIF(DEVPR[REGISTRO],REGISTROS[[#This Row],[REGISTRO]],DEVPR[VENDAS])</f>
        <v>0</v>
      </c>
      <c r="J6" s="3">
        <f>SUMIF(DEVEX[REGISTRO],REGISTROS[[#This Row],[REGISTRO]],DEVEX[VENDAS])</f>
        <v>0</v>
      </c>
      <c r="K6" s="3">
        <f>SUMIF(devufs[REGISTRO],REGISTROS[[#This Row],[REGISTRO]],devufs[VENDAS])</f>
        <v>0</v>
      </c>
    </row>
    <row r="7" spans="2:11" x14ac:dyDescent="0.25">
      <c r="B7" t="s">
        <v>1020</v>
      </c>
      <c r="C7" s="2">
        <f>SUMIF(SLDINI[REGISTRO],REGISTROS[[#This Row],[REGISTRO]],SLDINI[SLDINI])</f>
        <v>0</v>
      </c>
      <c r="D7" s="2">
        <f>SUMIF(SLDFINAL[REGISTRO],REGISTROS[[#This Row],[REGISTRO]],SLDFINAL[SLDFIM])</f>
        <v>0</v>
      </c>
      <c r="E7" s="2">
        <f>SUMIF(producoes[REGISTRO],REGISTROS[[#This Row],[REGISTRO]],producoes[PRODUZIDO])</f>
        <v>0</v>
      </c>
      <c r="F7" s="2">
        <f>SUMIF(VendasPr[REGISTRO],REGISTROS[[#This Row],[REGISTRO]],VendasPr[VENDAS])</f>
        <v>0</v>
      </c>
      <c r="G7" s="2">
        <f>SUMIF(VendasEx[REGISTRO],REGISTROS[[#This Row],[REGISTRO]],VendasEx[VENDAS])</f>
        <v>0</v>
      </c>
      <c r="H7" s="2">
        <f>SUMIF(VENDASUFS[REGISTRO],REGISTROS[[#This Row],[REGISTRO]],VENDASUFS[VENDAS])</f>
        <v>0</v>
      </c>
      <c r="I7" s="3">
        <f>SUMIF(DEVPR[REGISTRO],REGISTROS[[#This Row],[REGISTRO]],DEVPR[VENDAS])</f>
        <v>0</v>
      </c>
      <c r="J7" s="3">
        <f>SUMIF(DEVEX[REGISTRO],REGISTROS[[#This Row],[REGISTRO]],DEVEX[VENDAS])</f>
        <v>0</v>
      </c>
      <c r="K7" s="3">
        <f>SUMIF(devufs[REGISTRO],REGISTROS[[#This Row],[REGISTRO]],devufs[VENDAS])</f>
        <v>0</v>
      </c>
    </row>
    <row r="8" spans="2:11" x14ac:dyDescent="0.25">
      <c r="B8" t="s">
        <v>694</v>
      </c>
      <c r="C8" s="2">
        <f>SUMIF(SLDINI[REGISTRO],REGISTROS[[#This Row],[REGISTRO]],SLDINI[SLDINI])</f>
        <v>0</v>
      </c>
      <c r="D8" s="2">
        <f>SUMIF(SLDFINAL[REGISTRO],REGISTROS[[#This Row],[REGISTRO]],SLDFINAL[SLDFIM])</f>
        <v>0</v>
      </c>
      <c r="E8" s="2">
        <f>SUMIF(producoes[REGISTRO],REGISTROS[[#This Row],[REGISTRO]],producoes[PRODUZIDO])</f>
        <v>0</v>
      </c>
      <c r="F8" s="2">
        <f>SUMIF(VendasPr[REGISTRO],REGISTROS[[#This Row],[REGISTRO]],VendasPr[VENDAS])</f>
        <v>0</v>
      </c>
      <c r="G8" s="2">
        <f>SUMIF(VendasEx[REGISTRO],REGISTROS[[#This Row],[REGISTRO]],VendasEx[VENDAS])</f>
        <v>0</v>
      </c>
      <c r="H8" s="2">
        <f>SUMIF(VENDASUFS[REGISTRO],REGISTROS[[#This Row],[REGISTRO]],VENDASUFS[VENDAS])</f>
        <v>0</v>
      </c>
      <c r="I8" s="3">
        <f>SUMIF(DEVPR[REGISTRO],REGISTROS[[#This Row],[REGISTRO]],DEVPR[VENDAS])</f>
        <v>0</v>
      </c>
      <c r="J8" s="3">
        <f>SUMIF(DEVEX[REGISTRO],REGISTROS[[#This Row],[REGISTRO]],DEVEX[VENDAS])</f>
        <v>0</v>
      </c>
      <c r="K8" s="3">
        <f>SUMIF(devufs[REGISTRO],REGISTROS[[#This Row],[REGISTRO]],devufs[VENDAS])</f>
        <v>0</v>
      </c>
    </row>
    <row r="9" spans="2:11" x14ac:dyDescent="0.25">
      <c r="B9" t="s">
        <v>1596</v>
      </c>
      <c r="C9" s="2">
        <f>SUMIF(SLDINI[REGISTRO],REGISTROS[[#This Row],[REGISTRO]],SLDINI[SLDINI])</f>
        <v>0</v>
      </c>
      <c r="D9" s="2">
        <f>SUMIF(SLDFINAL[REGISTRO],REGISTROS[[#This Row],[REGISTRO]],SLDFINAL[SLDFIM])</f>
        <v>0</v>
      </c>
      <c r="E9" s="2">
        <f>SUMIF(producoes[REGISTRO],REGISTROS[[#This Row],[REGISTRO]],producoes[PRODUZIDO])</f>
        <v>0</v>
      </c>
      <c r="F9" s="2">
        <f>SUMIF(VendasPr[REGISTRO],REGISTROS[[#This Row],[REGISTRO]],VendasPr[VENDAS])</f>
        <v>0</v>
      </c>
      <c r="G9" s="2">
        <f>SUMIF(VendasEx[REGISTRO],REGISTROS[[#This Row],[REGISTRO]],VendasEx[VENDAS])</f>
        <v>0</v>
      </c>
      <c r="H9" s="2">
        <f>SUMIF(VENDASUFS[REGISTRO],REGISTROS[[#This Row],[REGISTRO]],VENDASUFS[VENDAS])</f>
        <v>0</v>
      </c>
      <c r="I9" s="3">
        <f>SUMIF(DEVPR[REGISTRO],REGISTROS[[#This Row],[REGISTRO]],DEVPR[VENDAS])</f>
        <v>0</v>
      </c>
      <c r="J9" s="3">
        <f>SUMIF(DEVEX[REGISTRO],REGISTROS[[#This Row],[REGISTRO]],DEVEX[VENDAS])</f>
        <v>0</v>
      </c>
      <c r="K9" s="3">
        <f>SUMIF(devufs[REGISTRO],REGISTROS[[#This Row],[REGISTRO]],devufs[VENDAS])</f>
        <v>0</v>
      </c>
    </row>
    <row r="10" spans="2:11" x14ac:dyDescent="0.25">
      <c r="B10" t="s">
        <v>763</v>
      </c>
      <c r="C10" s="2">
        <f>SUMIF(SLDINI[REGISTRO],REGISTROS[[#This Row],[REGISTRO]],SLDINI[SLDINI])</f>
        <v>10</v>
      </c>
      <c r="D10" s="2">
        <f>SUMIF(SLDFINAL[REGISTRO],REGISTROS[[#This Row],[REGISTRO]],SLDFINAL[SLDFIM])</f>
        <v>110</v>
      </c>
      <c r="E10" s="2">
        <f>SUMIF(producoes[REGISTRO],REGISTROS[[#This Row],[REGISTRO]],producoes[PRODUZIDO])</f>
        <v>0</v>
      </c>
      <c r="F10" s="2">
        <f>SUMIF(VendasPr[REGISTRO],REGISTROS[[#This Row],[REGISTRO]],VendasPr[VENDAS])</f>
        <v>0</v>
      </c>
      <c r="G10" s="2">
        <f>SUMIF(VendasEx[REGISTRO],REGISTROS[[#This Row],[REGISTRO]],VendasEx[VENDAS])</f>
        <v>0</v>
      </c>
      <c r="H10" s="2">
        <f>SUMIF(VENDASUFS[REGISTRO],REGISTROS[[#This Row],[REGISTRO]],VENDASUFS[VENDAS])</f>
        <v>0</v>
      </c>
      <c r="I10" s="3">
        <f>SUMIF(DEVPR[REGISTRO],REGISTROS[[#This Row],[REGISTRO]],DEVPR[VENDAS])</f>
        <v>100</v>
      </c>
      <c r="J10" s="3">
        <f>SUMIF(DEVEX[REGISTRO],REGISTROS[[#This Row],[REGISTRO]],DEVEX[VENDAS])</f>
        <v>0</v>
      </c>
      <c r="K10" s="3">
        <f>SUMIF(devufs[REGISTRO],REGISTROS[[#This Row],[REGISTRO]],devufs[VENDAS])</f>
        <v>0</v>
      </c>
    </row>
    <row r="11" spans="2:11" x14ac:dyDescent="0.25">
      <c r="B11" t="s">
        <v>61</v>
      </c>
      <c r="C11" s="2">
        <f>SUMIF(SLDINI[REGISTRO],REGISTROS[[#This Row],[REGISTRO]],SLDINI[SLDINI])</f>
        <v>6547</v>
      </c>
      <c r="D11" s="2">
        <f>SUMIF(SLDFINAL[REGISTRO],REGISTROS[[#This Row],[REGISTRO]],SLDFINAL[SLDFIM])</f>
        <v>1961</v>
      </c>
      <c r="E11" s="2">
        <f>SUMIF(producoes[REGISTRO],REGISTROS[[#This Row],[REGISTRO]],producoes[PRODUZIDO])</f>
        <v>12324</v>
      </c>
      <c r="F11" s="2">
        <f>SUMIF(VendasPr[REGISTRO],REGISTROS[[#This Row],[REGISTRO]],VendasPr[VENDAS])</f>
        <v>1617</v>
      </c>
      <c r="G11" s="2">
        <f>SUMIF(VendasEx[REGISTRO],REGISTROS[[#This Row],[REGISTRO]],VendasEx[VENDAS])</f>
        <v>0</v>
      </c>
      <c r="H11" s="2">
        <f>SUMIF(VENDASUFS[REGISTRO],REGISTROS[[#This Row],[REGISTRO]],VENDASUFS[VENDAS])</f>
        <v>15333</v>
      </c>
      <c r="I11" s="3">
        <f>SUMIF(DEVPR[REGISTRO],REGISTROS[[#This Row],[REGISTRO]],DEVPR[VENDAS])</f>
        <v>0</v>
      </c>
      <c r="J11" s="3">
        <f>SUMIF(DEVEX[REGISTRO],REGISTROS[[#This Row],[REGISTRO]],DEVEX[VENDAS])</f>
        <v>0</v>
      </c>
      <c r="K11" s="3">
        <f>SUMIF(devufs[REGISTRO],REGISTROS[[#This Row],[REGISTRO]],devufs[VENDAS])</f>
        <v>40</v>
      </c>
    </row>
    <row r="12" spans="2:11" x14ac:dyDescent="0.25">
      <c r="B12" t="s">
        <v>145</v>
      </c>
      <c r="C12" s="2">
        <f>SUMIF(SLDINI[REGISTRO],REGISTROS[[#This Row],[REGISTRO]],SLDINI[SLDINI])</f>
        <v>34934</v>
      </c>
      <c r="D12" s="2">
        <f>SUMIF(SLDFINAL[REGISTRO],REGISTROS[[#This Row],[REGISTRO]],SLDFINAL[SLDFIM])</f>
        <v>21419</v>
      </c>
      <c r="E12" s="2">
        <f>SUMIF(producoes[REGISTRO],REGISTROS[[#This Row],[REGISTRO]],producoes[PRODUZIDO])</f>
        <v>12</v>
      </c>
      <c r="F12" s="2">
        <f>SUMIF(VendasPr[REGISTRO],REGISTROS[[#This Row],[REGISTRO]],VendasPr[VENDAS])</f>
        <v>3887</v>
      </c>
      <c r="G12" s="2">
        <f>SUMIF(VendasEx[REGISTRO],REGISTROS[[#This Row],[REGISTRO]],VendasEx[VENDAS])</f>
        <v>0</v>
      </c>
      <c r="H12" s="2">
        <f>SUMIF(VENDASUFS[REGISTRO],REGISTROS[[#This Row],[REGISTRO]],VENDASUFS[VENDAS])</f>
        <v>10502</v>
      </c>
      <c r="I12" s="3">
        <f>SUMIF(DEVPR[REGISTRO],REGISTROS[[#This Row],[REGISTRO]],DEVPR[VENDAS])</f>
        <v>0</v>
      </c>
      <c r="J12" s="3">
        <f>SUMIF(DEVEX[REGISTRO],REGISTROS[[#This Row],[REGISTRO]],DEVEX[VENDAS])</f>
        <v>0</v>
      </c>
      <c r="K12" s="3">
        <f>SUMIF(devufs[REGISTRO],REGISTROS[[#This Row],[REGISTRO]],devufs[VENDAS])</f>
        <v>862</v>
      </c>
    </row>
    <row r="13" spans="2:11" x14ac:dyDescent="0.25">
      <c r="B13" t="s">
        <v>55</v>
      </c>
      <c r="C13" s="2">
        <f>SUMIF(SLDINI[REGISTRO],REGISTROS[[#This Row],[REGISTRO]],SLDINI[SLDINI])</f>
        <v>3794</v>
      </c>
      <c r="D13" s="2">
        <f>SUMIF(SLDFINAL[REGISTRO],REGISTROS[[#This Row],[REGISTRO]],SLDFINAL[SLDFIM])</f>
        <v>3458</v>
      </c>
      <c r="E13" s="2">
        <f>SUMIF(producoes[REGISTRO],REGISTROS[[#This Row],[REGISTRO]],producoes[PRODUZIDO])</f>
        <v>-2</v>
      </c>
      <c r="F13" s="2">
        <f>SUMIF(VendasPr[REGISTRO],REGISTROS[[#This Row],[REGISTRO]],VendasPr[VENDAS])</f>
        <v>40</v>
      </c>
      <c r="G13" s="2">
        <f>SUMIF(VendasEx[REGISTRO],REGISTROS[[#This Row],[REGISTRO]],VendasEx[VENDAS])</f>
        <v>0</v>
      </c>
      <c r="H13" s="2">
        <f>SUMIF(VENDASUFS[REGISTRO],REGISTROS[[#This Row],[REGISTRO]],VENDASUFS[VENDAS])</f>
        <v>294</v>
      </c>
      <c r="I13" s="3">
        <f>SUMIF(DEVPR[REGISTRO],REGISTROS[[#This Row],[REGISTRO]],DEVPR[VENDAS])</f>
        <v>0</v>
      </c>
      <c r="J13" s="3">
        <f>SUMIF(DEVEX[REGISTRO],REGISTROS[[#This Row],[REGISTRO]],DEVEX[VENDAS])</f>
        <v>0</v>
      </c>
      <c r="K13" s="3">
        <f>SUMIF(devufs[REGISTRO],REGISTROS[[#This Row],[REGISTRO]],devufs[VENDAS])</f>
        <v>0</v>
      </c>
    </row>
    <row r="14" spans="2:11" x14ac:dyDescent="0.25">
      <c r="B14" t="s">
        <v>797</v>
      </c>
      <c r="C14" s="2">
        <f>SUMIF(SLDINI[REGISTRO],REGISTROS[[#This Row],[REGISTRO]],SLDINI[SLDINI])</f>
        <v>0</v>
      </c>
      <c r="D14" s="2">
        <f>SUMIF(SLDFINAL[REGISTRO],REGISTROS[[#This Row],[REGISTRO]],SLDFINAL[SLDFIM])</f>
        <v>0</v>
      </c>
      <c r="E14" s="2">
        <f>SUMIF(producoes[REGISTRO],REGISTROS[[#This Row],[REGISTRO]],producoes[PRODUZIDO])</f>
        <v>0</v>
      </c>
      <c r="F14" s="2">
        <f>SUMIF(VendasPr[REGISTRO],REGISTROS[[#This Row],[REGISTRO]],VendasPr[VENDAS])</f>
        <v>0</v>
      </c>
      <c r="G14" s="2">
        <f>SUMIF(VendasEx[REGISTRO],REGISTROS[[#This Row],[REGISTRO]],VendasEx[VENDAS])</f>
        <v>0</v>
      </c>
      <c r="H14" s="2">
        <f>SUMIF(VENDASUFS[REGISTRO],REGISTROS[[#This Row],[REGISTRO]],VENDASUFS[VENDAS])</f>
        <v>0</v>
      </c>
      <c r="I14" s="3">
        <f>SUMIF(DEVPR[REGISTRO],REGISTROS[[#This Row],[REGISTRO]],DEVPR[VENDAS])</f>
        <v>0</v>
      </c>
      <c r="J14" s="3">
        <f>SUMIF(DEVEX[REGISTRO],REGISTROS[[#This Row],[REGISTRO]],DEVEX[VENDAS])</f>
        <v>0</v>
      </c>
      <c r="K14" s="3">
        <f>SUMIF(devufs[REGISTRO],REGISTROS[[#This Row],[REGISTRO]],devufs[VENDAS])</f>
        <v>0</v>
      </c>
    </row>
    <row r="15" spans="2:11" x14ac:dyDescent="0.25">
      <c r="B15" t="s">
        <v>186</v>
      </c>
      <c r="C15" s="2">
        <f>SUMIF(SLDINI[REGISTRO],REGISTROS[[#This Row],[REGISTRO]],SLDINI[SLDINI])</f>
        <v>250</v>
      </c>
      <c r="D15" s="2">
        <f>SUMIF(SLDFINAL[REGISTRO],REGISTROS[[#This Row],[REGISTRO]],SLDFINAL[SLDFIM])</f>
        <v>250</v>
      </c>
      <c r="E15" s="2">
        <f>SUMIF(producoes[REGISTRO],REGISTROS[[#This Row],[REGISTRO]],producoes[PRODUZIDO])</f>
        <v>0</v>
      </c>
      <c r="F15" s="2">
        <f>SUMIF(VendasPr[REGISTRO],REGISTROS[[#This Row],[REGISTRO]],VendasPr[VENDAS])</f>
        <v>0</v>
      </c>
      <c r="G15" s="2">
        <f>SUMIF(VendasEx[REGISTRO],REGISTROS[[#This Row],[REGISTRO]],VendasEx[VENDAS])</f>
        <v>0</v>
      </c>
      <c r="H15" s="2">
        <f>SUMIF(VENDASUFS[REGISTRO],REGISTROS[[#This Row],[REGISTRO]],VENDASUFS[VENDAS])</f>
        <v>0</v>
      </c>
      <c r="I15" s="3">
        <f>SUMIF(DEVPR[REGISTRO],REGISTROS[[#This Row],[REGISTRO]],DEVPR[VENDAS])</f>
        <v>0</v>
      </c>
      <c r="J15" s="3">
        <f>SUMIF(DEVEX[REGISTRO],REGISTROS[[#This Row],[REGISTRO]],DEVEX[VENDAS])</f>
        <v>0</v>
      </c>
      <c r="K15" s="3">
        <f>SUMIF(devufs[REGISTRO],REGISTROS[[#This Row],[REGISTRO]],devufs[VENDAS])</f>
        <v>0</v>
      </c>
    </row>
    <row r="16" spans="2:11" x14ac:dyDescent="0.25">
      <c r="B16" t="s">
        <v>91</v>
      </c>
      <c r="C16" s="2">
        <f>SUMIF(SLDINI[REGISTRO],REGISTROS[[#This Row],[REGISTRO]],SLDINI[SLDINI])</f>
        <v>0</v>
      </c>
      <c r="D16" s="2">
        <f>SUMIF(SLDFINAL[REGISTRO],REGISTROS[[#This Row],[REGISTRO]],SLDFINAL[SLDFIM])</f>
        <v>0</v>
      </c>
      <c r="E16" s="2">
        <f>SUMIF(producoes[REGISTRO],REGISTROS[[#This Row],[REGISTRO]],producoes[PRODUZIDO])</f>
        <v>0</v>
      </c>
      <c r="F16" s="2">
        <f>SUMIF(VendasPr[REGISTRO],REGISTROS[[#This Row],[REGISTRO]],VendasPr[VENDAS])</f>
        <v>0</v>
      </c>
      <c r="G16" s="2">
        <f>SUMIF(VendasEx[REGISTRO],REGISTROS[[#This Row],[REGISTRO]],VendasEx[VENDAS])</f>
        <v>0</v>
      </c>
      <c r="H16" s="2">
        <f>SUMIF(VENDASUFS[REGISTRO],REGISTROS[[#This Row],[REGISTRO]],VENDASUFS[VENDAS])</f>
        <v>0</v>
      </c>
      <c r="I16" s="3">
        <f>SUMIF(DEVPR[REGISTRO],REGISTROS[[#This Row],[REGISTRO]],DEVPR[VENDAS])</f>
        <v>0</v>
      </c>
      <c r="J16" s="3">
        <f>SUMIF(DEVEX[REGISTRO],REGISTROS[[#This Row],[REGISTRO]],DEVEX[VENDAS])</f>
        <v>0</v>
      </c>
      <c r="K16" s="3">
        <f>SUMIF(devufs[REGISTRO],REGISTROS[[#This Row],[REGISTRO]],devufs[VENDAS])</f>
        <v>0</v>
      </c>
    </row>
    <row r="17" spans="2:11" x14ac:dyDescent="0.25">
      <c r="B17" t="s">
        <v>52</v>
      </c>
      <c r="C17" s="2">
        <f>SUMIF(SLDINI[REGISTRO],REGISTROS[[#This Row],[REGISTRO]],SLDINI[SLDINI])</f>
        <v>23747</v>
      </c>
      <c r="D17" s="2">
        <f>SUMIF(SLDFINAL[REGISTRO],REGISTROS[[#This Row],[REGISTRO]],SLDFINAL[SLDFIM])</f>
        <v>21715</v>
      </c>
      <c r="E17" s="2">
        <f>SUMIF(producoes[REGISTRO],REGISTROS[[#This Row],[REGISTRO]],producoes[PRODUZIDO])</f>
        <v>-10</v>
      </c>
      <c r="F17" s="2">
        <f>SUMIF(VendasPr[REGISTRO],REGISTROS[[#This Row],[REGISTRO]],VendasPr[VENDAS])</f>
        <v>456</v>
      </c>
      <c r="G17" s="2">
        <f>SUMIF(VendasEx[REGISTRO],REGISTROS[[#This Row],[REGISTRO]],VendasEx[VENDAS])</f>
        <v>0</v>
      </c>
      <c r="H17" s="2">
        <f>SUMIF(VENDASUFS[REGISTRO],REGISTROS[[#This Row],[REGISTRO]],VENDASUFS[VENDAS])</f>
        <v>1601</v>
      </c>
      <c r="I17" s="3">
        <f>SUMIF(DEVPR[REGISTRO],REGISTROS[[#This Row],[REGISTRO]],DEVPR[VENDAS])</f>
        <v>0</v>
      </c>
      <c r="J17" s="3">
        <f>SUMIF(DEVEX[REGISTRO],REGISTROS[[#This Row],[REGISTRO]],DEVEX[VENDAS])</f>
        <v>0</v>
      </c>
      <c r="K17" s="3">
        <f>SUMIF(devufs[REGISTRO],REGISTROS[[#This Row],[REGISTRO]],devufs[VENDAS])</f>
        <v>35</v>
      </c>
    </row>
    <row r="18" spans="2:11" x14ac:dyDescent="0.25">
      <c r="B18" t="s">
        <v>58</v>
      </c>
      <c r="C18" s="2">
        <f>SUMIF(SLDINI[REGISTRO],REGISTROS[[#This Row],[REGISTRO]],SLDINI[SLDINI])</f>
        <v>3331</v>
      </c>
      <c r="D18" s="2">
        <f>SUMIF(SLDFINAL[REGISTRO],REGISTROS[[#This Row],[REGISTRO]],SLDFINAL[SLDFIM])</f>
        <v>3189</v>
      </c>
      <c r="E18" s="2">
        <f>SUMIF(producoes[REGISTRO],REGISTROS[[#This Row],[REGISTRO]],producoes[PRODUZIDO])</f>
        <v>138</v>
      </c>
      <c r="F18" s="2">
        <f>SUMIF(VendasPr[REGISTRO],REGISTROS[[#This Row],[REGISTRO]],VendasPr[VENDAS])</f>
        <v>280</v>
      </c>
      <c r="G18" s="2">
        <f>SUMIF(VendasEx[REGISTRO],REGISTROS[[#This Row],[REGISTRO]],VendasEx[VENDAS])</f>
        <v>0</v>
      </c>
      <c r="H18" s="2">
        <f>SUMIF(VENDASUFS[REGISTRO],REGISTROS[[#This Row],[REGISTRO]],VENDASUFS[VENDAS])</f>
        <v>0</v>
      </c>
      <c r="I18" s="3">
        <f>SUMIF(DEVPR[REGISTRO],REGISTROS[[#This Row],[REGISTRO]],DEVPR[VENDAS])</f>
        <v>0</v>
      </c>
      <c r="J18" s="3">
        <f>SUMIF(DEVEX[REGISTRO],REGISTROS[[#This Row],[REGISTRO]],DEVEX[VENDAS])</f>
        <v>0</v>
      </c>
      <c r="K18" s="3">
        <f>SUMIF(devufs[REGISTRO],REGISTROS[[#This Row],[REGISTRO]],devufs[VENDAS])</f>
        <v>0</v>
      </c>
    </row>
    <row r="19" spans="2:11" x14ac:dyDescent="0.25">
      <c r="B19" t="s">
        <v>195</v>
      </c>
      <c r="C19" s="2">
        <f>SUMIF(SLDINI[REGISTRO],REGISTROS[[#This Row],[REGISTRO]],SLDINI[SLDINI])</f>
        <v>23009</v>
      </c>
      <c r="D19" s="2">
        <f>SUMIF(SLDFINAL[REGISTRO],REGISTROS[[#This Row],[REGISTRO]],SLDFINAL[SLDFIM])</f>
        <v>15149</v>
      </c>
      <c r="E19" s="2">
        <f>SUMIF(producoes[REGISTRO],REGISTROS[[#This Row],[REGISTRO]],producoes[PRODUZIDO])</f>
        <v>5720</v>
      </c>
      <c r="F19" s="2">
        <f>SUMIF(VendasPr[REGISTRO],REGISTROS[[#This Row],[REGISTRO]],VendasPr[VENDAS])</f>
        <v>11680</v>
      </c>
      <c r="G19" s="2">
        <f>SUMIF(VendasEx[REGISTRO],REGISTROS[[#This Row],[REGISTRO]],VendasEx[VENDAS])</f>
        <v>0</v>
      </c>
      <c r="H19" s="2">
        <f>SUMIF(VENDASUFS[REGISTRO],REGISTROS[[#This Row],[REGISTRO]],VENDASUFS[VENDAS])</f>
        <v>1900</v>
      </c>
      <c r="I19" s="3">
        <f>SUMIF(DEVPR[REGISTRO],REGISTROS[[#This Row],[REGISTRO]],DEVPR[VENDAS])</f>
        <v>0</v>
      </c>
      <c r="J19" s="3">
        <f>SUMIF(DEVEX[REGISTRO],REGISTROS[[#This Row],[REGISTRO]],DEVEX[VENDAS])</f>
        <v>0</v>
      </c>
      <c r="K19" s="3">
        <f>SUMIF(devufs[REGISTRO],REGISTROS[[#This Row],[REGISTRO]],devufs[VENDAS])</f>
        <v>0</v>
      </c>
    </row>
    <row r="20" spans="2:11" x14ac:dyDescent="0.25">
      <c r="B20" t="s">
        <v>328</v>
      </c>
      <c r="C20" s="2">
        <f>SUMIF(SLDINI[REGISTRO],REGISTROS[[#This Row],[REGISTRO]],SLDINI[SLDINI])</f>
        <v>0</v>
      </c>
      <c r="D20" s="2">
        <f>SUMIF(SLDFINAL[REGISTRO],REGISTROS[[#This Row],[REGISTRO]],SLDFINAL[SLDFIM])</f>
        <v>0</v>
      </c>
      <c r="E20" s="2">
        <f>SUMIF(producoes[REGISTRO],REGISTROS[[#This Row],[REGISTRO]],producoes[PRODUZIDO])</f>
        <v>0</v>
      </c>
      <c r="F20" s="2">
        <f>SUMIF(VendasPr[REGISTRO],REGISTROS[[#This Row],[REGISTRO]],VendasPr[VENDAS])</f>
        <v>0</v>
      </c>
      <c r="G20" s="2">
        <f>SUMIF(VendasEx[REGISTRO],REGISTROS[[#This Row],[REGISTRO]],VendasEx[VENDAS])</f>
        <v>0</v>
      </c>
      <c r="H20" s="2">
        <f>SUMIF(VENDASUFS[REGISTRO],REGISTROS[[#This Row],[REGISTRO]],VENDASUFS[VENDAS])</f>
        <v>0</v>
      </c>
      <c r="I20" s="3">
        <f>SUMIF(DEVPR[REGISTRO],REGISTROS[[#This Row],[REGISTRO]],DEVPR[VENDAS])</f>
        <v>0</v>
      </c>
      <c r="J20" s="3">
        <f>SUMIF(DEVEX[REGISTRO],REGISTROS[[#This Row],[REGISTRO]],DEVEX[VENDAS])</f>
        <v>0</v>
      </c>
      <c r="K20" s="3">
        <f>SUMIF(devufs[REGISTRO],REGISTROS[[#This Row],[REGISTRO]],devufs[VENDAS])</f>
        <v>0</v>
      </c>
    </row>
    <row r="21" spans="2:11" x14ac:dyDescent="0.25">
      <c r="B21" t="s">
        <v>352</v>
      </c>
      <c r="C21" s="2">
        <f>SUMIF(SLDINI[REGISTRO],REGISTROS[[#This Row],[REGISTRO]],SLDINI[SLDINI])</f>
        <v>5824</v>
      </c>
      <c r="D21" s="2">
        <f>SUMIF(SLDFINAL[REGISTRO],REGISTROS[[#This Row],[REGISTRO]],SLDFINAL[SLDFIM])</f>
        <v>1022</v>
      </c>
      <c r="E21" s="2">
        <f>SUMIF(producoes[REGISTRO],REGISTROS[[#This Row],[REGISTRO]],producoes[PRODUZIDO])</f>
        <v>1930</v>
      </c>
      <c r="F21" s="2">
        <f>SUMIF(VendasPr[REGISTRO],REGISTROS[[#This Row],[REGISTRO]],VendasPr[VENDAS])</f>
        <v>2320</v>
      </c>
      <c r="G21" s="2">
        <f>SUMIF(VendasEx[REGISTRO],REGISTROS[[#This Row],[REGISTRO]],VendasEx[VENDAS])</f>
        <v>0</v>
      </c>
      <c r="H21" s="2">
        <f>SUMIF(VENDASUFS[REGISTRO],REGISTROS[[#This Row],[REGISTRO]],VENDASUFS[VENDAS])</f>
        <v>4412</v>
      </c>
      <c r="I21" s="3">
        <f>SUMIF(DEVPR[REGISTRO],REGISTROS[[#This Row],[REGISTRO]],DEVPR[VENDAS])</f>
        <v>0</v>
      </c>
      <c r="J21" s="3">
        <f>SUMIF(DEVEX[REGISTRO],REGISTROS[[#This Row],[REGISTRO]],DEVEX[VENDAS])</f>
        <v>0</v>
      </c>
      <c r="K21" s="3">
        <f>SUMIF(devufs[REGISTRO],REGISTROS[[#This Row],[REGISTRO]],devufs[VENDAS])</f>
        <v>0</v>
      </c>
    </row>
    <row r="22" spans="2:11" x14ac:dyDescent="0.25">
      <c r="B22" t="s">
        <v>214</v>
      </c>
      <c r="C22" s="2">
        <f>SUMIF(SLDINI[REGISTRO],REGISTROS[[#This Row],[REGISTRO]],SLDINI[SLDINI])</f>
        <v>0</v>
      </c>
      <c r="D22" s="2">
        <f>SUMIF(SLDFINAL[REGISTRO],REGISTROS[[#This Row],[REGISTRO]],SLDFINAL[SLDFIM])</f>
        <v>1120</v>
      </c>
      <c r="E22" s="2">
        <f>SUMIF(producoes[REGISTRO],REGISTROS[[#This Row],[REGISTRO]],producoes[PRODUZIDO])</f>
        <v>13240</v>
      </c>
      <c r="F22" s="2">
        <f>SUMIF(VendasPr[REGISTRO],REGISTROS[[#This Row],[REGISTRO]],VendasPr[VENDAS])</f>
        <v>12000</v>
      </c>
      <c r="G22" s="2">
        <f>SUMIF(VendasEx[REGISTRO],REGISTROS[[#This Row],[REGISTRO]],VendasEx[VENDAS])</f>
        <v>0</v>
      </c>
      <c r="H22" s="2">
        <f>SUMIF(VENDASUFS[REGISTRO],REGISTROS[[#This Row],[REGISTRO]],VENDASUFS[VENDAS])</f>
        <v>120</v>
      </c>
      <c r="I22" s="3">
        <f>SUMIF(DEVPR[REGISTRO],REGISTROS[[#This Row],[REGISTRO]],DEVPR[VENDAS])</f>
        <v>0</v>
      </c>
      <c r="J22" s="3">
        <f>SUMIF(DEVEX[REGISTRO],REGISTROS[[#This Row],[REGISTRO]],DEVEX[VENDAS])</f>
        <v>0</v>
      </c>
      <c r="K22" s="3">
        <f>SUMIF(devufs[REGISTRO],REGISTROS[[#This Row],[REGISTRO]],devufs[VENDAS])</f>
        <v>0</v>
      </c>
    </row>
    <row r="23" spans="2:11" x14ac:dyDescent="0.25">
      <c r="B23" t="s">
        <v>73</v>
      </c>
      <c r="C23" s="2">
        <f>SUMIF(SLDINI[REGISTRO],REGISTROS[[#This Row],[REGISTRO]],SLDINI[SLDINI])</f>
        <v>500</v>
      </c>
      <c r="D23" s="2">
        <f>SUMIF(SLDFINAL[REGISTRO],REGISTROS[[#This Row],[REGISTRO]],SLDFINAL[SLDFIM])</f>
        <v>365</v>
      </c>
      <c r="E23" s="2">
        <f>SUMIF(producoes[REGISTRO],REGISTROS[[#This Row],[REGISTRO]],producoes[PRODUZIDO])</f>
        <v>200</v>
      </c>
      <c r="F23" s="2">
        <f>SUMIF(VendasPr[REGISTRO],REGISTROS[[#This Row],[REGISTRO]],VendasPr[VENDAS])</f>
        <v>25</v>
      </c>
      <c r="G23" s="2">
        <f>SUMIF(VendasEx[REGISTRO],REGISTROS[[#This Row],[REGISTRO]],VendasEx[VENDAS])</f>
        <v>0</v>
      </c>
      <c r="H23" s="2">
        <f>SUMIF(VENDASUFS[REGISTRO],REGISTROS[[#This Row],[REGISTRO]],VENDASUFS[VENDAS])</f>
        <v>310</v>
      </c>
      <c r="I23" s="3">
        <f>SUMIF(DEVPR[REGISTRO],REGISTROS[[#This Row],[REGISTRO]],DEVPR[VENDAS])</f>
        <v>0</v>
      </c>
      <c r="J23" s="3">
        <f>SUMIF(DEVEX[REGISTRO],REGISTROS[[#This Row],[REGISTRO]],DEVEX[VENDAS])</f>
        <v>0</v>
      </c>
      <c r="K23" s="3">
        <f>SUMIF(devufs[REGISTRO],REGISTROS[[#This Row],[REGISTRO]],devufs[VENDAS])</f>
        <v>0</v>
      </c>
    </row>
    <row r="24" spans="2:11" x14ac:dyDescent="0.25">
      <c r="B24" t="s">
        <v>70</v>
      </c>
      <c r="C24" s="2">
        <f>SUMIF(SLDINI[REGISTRO],REGISTROS[[#This Row],[REGISTRO]],SLDINI[SLDINI])</f>
        <v>988</v>
      </c>
      <c r="D24" s="2">
        <f>SUMIF(SLDFINAL[REGISTRO],REGISTROS[[#This Row],[REGISTRO]],SLDFINAL[SLDFIM])</f>
        <v>440</v>
      </c>
      <c r="E24" s="2">
        <f>SUMIF(producoes[REGISTRO],REGISTROS[[#This Row],[REGISTRO]],producoes[PRODUZIDO])</f>
        <v>-1</v>
      </c>
      <c r="F24" s="2">
        <f>SUMIF(VendasPr[REGISTRO],REGISTROS[[#This Row],[REGISTRO]],VendasPr[VENDAS])</f>
        <v>107</v>
      </c>
      <c r="G24" s="2">
        <f>SUMIF(VendasEx[REGISTRO],REGISTROS[[#This Row],[REGISTRO]],VendasEx[VENDAS])</f>
        <v>0</v>
      </c>
      <c r="H24" s="2">
        <f>SUMIF(VENDASUFS[REGISTRO],REGISTROS[[#This Row],[REGISTRO]],VENDASUFS[VENDAS])</f>
        <v>440</v>
      </c>
      <c r="I24" s="3">
        <f>SUMIF(DEVPR[REGISTRO],REGISTROS[[#This Row],[REGISTRO]],DEVPR[VENDAS])</f>
        <v>0</v>
      </c>
      <c r="J24" s="3">
        <f>SUMIF(DEVEX[REGISTRO],REGISTROS[[#This Row],[REGISTRO]],DEVEX[VENDAS])</f>
        <v>0</v>
      </c>
      <c r="K24" s="3">
        <f>SUMIF(devufs[REGISTRO],REGISTROS[[#This Row],[REGISTRO]],devufs[VENDAS])</f>
        <v>0</v>
      </c>
    </row>
    <row r="25" spans="2:11" x14ac:dyDescent="0.25">
      <c r="B25" t="s">
        <v>67</v>
      </c>
      <c r="C25" s="2">
        <f>SUMIF(SLDINI[REGISTRO],REGISTROS[[#This Row],[REGISTRO]],SLDINI[SLDINI])</f>
        <v>1040</v>
      </c>
      <c r="D25" s="2">
        <f>SUMIF(SLDFINAL[REGISTRO],REGISTROS[[#This Row],[REGISTRO]],SLDFINAL[SLDFIM])</f>
        <v>1040</v>
      </c>
      <c r="E25" s="2">
        <f>SUMIF(producoes[REGISTRO],REGISTROS[[#This Row],[REGISTRO]],producoes[PRODUZIDO])</f>
        <v>0</v>
      </c>
      <c r="F25" s="2">
        <f>SUMIF(VendasPr[REGISTRO],REGISTROS[[#This Row],[REGISTRO]],VendasPr[VENDAS])</f>
        <v>0</v>
      </c>
      <c r="G25" s="2">
        <f>SUMIF(VendasEx[REGISTRO],REGISTROS[[#This Row],[REGISTRO]],VendasEx[VENDAS])</f>
        <v>0</v>
      </c>
      <c r="H25" s="2">
        <f>SUMIF(VENDASUFS[REGISTRO],REGISTROS[[#This Row],[REGISTRO]],VENDASUFS[VENDAS])</f>
        <v>0</v>
      </c>
      <c r="I25" s="3">
        <f>SUMIF(DEVPR[REGISTRO],REGISTROS[[#This Row],[REGISTRO]],DEVPR[VENDAS])</f>
        <v>0</v>
      </c>
      <c r="J25" s="3">
        <f>SUMIF(DEVEX[REGISTRO],REGISTROS[[#This Row],[REGISTRO]],DEVEX[VENDAS])</f>
        <v>0</v>
      </c>
      <c r="K25" s="3">
        <f>SUMIF(devufs[REGISTRO],REGISTROS[[#This Row],[REGISTRO]],devufs[VENDAS])</f>
        <v>0</v>
      </c>
    </row>
    <row r="26" spans="2:11" x14ac:dyDescent="0.25">
      <c r="B26" t="s">
        <v>80</v>
      </c>
      <c r="C26" s="2">
        <f>SUMIF(SLDINI[REGISTRO],REGISTROS[[#This Row],[REGISTRO]],SLDINI[SLDINI])</f>
        <v>5063</v>
      </c>
      <c r="D26" s="2">
        <f>SUMIF(SLDFINAL[REGISTRO],REGISTROS[[#This Row],[REGISTRO]],SLDFINAL[SLDFIM])</f>
        <v>3937</v>
      </c>
      <c r="E26" s="2">
        <f>SUMIF(producoes[REGISTRO],REGISTROS[[#This Row],[REGISTRO]],producoes[PRODUZIDO])</f>
        <v>-1</v>
      </c>
      <c r="F26" s="2">
        <f>SUMIF(VendasPr[REGISTRO],REGISTROS[[#This Row],[REGISTRO]],VendasPr[VENDAS])</f>
        <v>692</v>
      </c>
      <c r="G26" s="2">
        <f>SUMIF(VendasEx[REGISTRO],REGISTROS[[#This Row],[REGISTRO]],VendasEx[VENDAS])</f>
        <v>0</v>
      </c>
      <c r="H26" s="2">
        <f>SUMIF(VENDASUFS[REGISTRO],REGISTROS[[#This Row],[REGISTRO]],VENDASUFS[VENDAS])</f>
        <v>1448</v>
      </c>
      <c r="I26" s="3">
        <f>SUMIF(DEVPR[REGISTRO],REGISTROS[[#This Row],[REGISTRO]],DEVPR[VENDAS])</f>
        <v>360</v>
      </c>
      <c r="J26" s="3">
        <f>SUMIF(DEVEX[REGISTRO],REGISTROS[[#This Row],[REGISTRO]],DEVEX[VENDAS])</f>
        <v>0</v>
      </c>
      <c r="K26" s="3">
        <f>SUMIF(devufs[REGISTRO],REGISTROS[[#This Row],[REGISTRO]],devufs[VENDAS])</f>
        <v>655</v>
      </c>
    </row>
    <row r="27" spans="2:11" x14ac:dyDescent="0.25">
      <c r="B27" t="s">
        <v>64</v>
      </c>
      <c r="C27" s="2">
        <f>SUMIF(SLDINI[REGISTRO],REGISTROS[[#This Row],[REGISTRO]],SLDINI[SLDINI])</f>
        <v>5223</v>
      </c>
      <c r="D27" s="2">
        <f>SUMIF(SLDFINAL[REGISTRO],REGISTROS[[#This Row],[REGISTRO]],SLDFINAL[SLDFIM])</f>
        <v>2906</v>
      </c>
      <c r="E27" s="2">
        <f>SUMIF(producoes[REGISTRO],REGISTROS[[#This Row],[REGISTRO]],producoes[PRODUZIDO])</f>
        <v>0</v>
      </c>
      <c r="F27" s="2">
        <f>SUMIF(VendasPr[REGISTRO],REGISTROS[[#This Row],[REGISTRO]],VendasPr[VENDAS])</f>
        <v>2005</v>
      </c>
      <c r="G27" s="2">
        <f>SUMIF(VendasEx[REGISTRO],REGISTROS[[#This Row],[REGISTRO]],VendasEx[VENDAS])</f>
        <v>0</v>
      </c>
      <c r="H27" s="2">
        <f>SUMIF(VENDASUFS[REGISTRO],REGISTROS[[#This Row],[REGISTRO]],VENDASUFS[VENDAS])</f>
        <v>312</v>
      </c>
      <c r="I27" s="3">
        <f>SUMIF(DEVPR[REGISTRO],REGISTROS[[#This Row],[REGISTRO]],DEVPR[VENDAS])</f>
        <v>0</v>
      </c>
      <c r="J27" s="3">
        <f>SUMIF(DEVEX[REGISTRO],REGISTROS[[#This Row],[REGISTRO]],DEVEX[VENDAS])</f>
        <v>0</v>
      </c>
      <c r="K27" s="3">
        <f>SUMIF(devufs[REGISTRO],REGISTROS[[#This Row],[REGISTRO]],devufs[VENDAS])</f>
        <v>0</v>
      </c>
    </row>
    <row r="28" spans="2:11" x14ac:dyDescent="0.25">
      <c r="B28" t="s">
        <v>705</v>
      </c>
      <c r="C28" s="2">
        <f>SUMIF(SLDINI[REGISTRO],REGISTROS[[#This Row],[REGISTRO]],SLDINI[SLDINI])</f>
        <v>1998</v>
      </c>
      <c r="D28" s="2">
        <f>SUMIF(SLDFINAL[REGISTRO],REGISTROS[[#This Row],[REGISTRO]],SLDFINAL[SLDFIM])</f>
        <v>639</v>
      </c>
      <c r="E28" s="2">
        <f>SUMIF(producoes[REGISTRO],REGISTROS[[#This Row],[REGISTRO]],producoes[PRODUZIDO])</f>
        <v>600</v>
      </c>
      <c r="F28" s="2">
        <f>SUMIF(VendasPr[REGISTRO],REGISTROS[[#This Row],[REGISTRO]],VendasPr[VENDAS])</f>
        <v>20</v>
      </c>
      <c r="G28" s="2">
        <f>SUMIF(VendasEx[REGISTRO],REGISTROS[[#This Row],[REGISTRO]],VendasEx[VENDAS])</f>
        <v>0</v>
      </c>
      <c r="H28" s="2">
        <f>SUMIF(VENDASUFS[REGISTRO],REGISTROS[[#This Row],[REGISTRO]],VENDASUFS[VENDAS])</f>
        <v>2314</v>
      </c>
      <c r="I28" s="3">
        <f>SUMIF(DEVPR[REGISTRO],REGISTROS[[#This Row],[REGISTRO]],DEVPR[VENDAS])</f>
        <v>0</v>
      </c>
      <c r="J28" s="3">
        <f>SUMIF(DEVEX[REGISTRO],REGISTROS[[#This Row],[REGISTRO]],DEVEX[VENDAS])</f>
        <v>0</v>
      </c>
      <c r="K28" s="3">
        <f>SUMIF(devufs[REGISTRO],REGISTROS[[#This Row],[REGISTRO]],devufs[VENDAS])</f>
        <v>335</v>
      </c>
    </row>
    <row r="29" spans="2:11" x14ac:dyDescent="0.25">
      <c r="B29" t="s">
        <v>34</v>
      </c>
      <c r="C29" s="2">
        <f>SUMIF(SLDINI[REGISTRO],REGISTROS[[#This Row],[REGISTRO]],SLDINI[SLDINI])</f>
        <v>1674</v>
      </c>
      <c r="D29" s="2">
        <f>SUMIF(SLDFINAL[REGISTRO],REGISTROS[[#This Row],[REGISTRO]],SLDFINAL[SLDFIM])</f>
        <v>4523</v>
      </c>
      <c r="E29" s="2">
        <f>SUMIF(producoes[REGISTRO],REGISTROS[[#This Row],[REGISTRO]],producoes[PRODUZIDO])</f>
        <v>2849</v>
      </c>
      <c r="F29" s="2">
        <f>SUMIF(VendasPr[REGISTRO],REGISTROS[[#This Row],[REGISTRO]],VendasPr[VENDAS])</f>
        <v>0</v>
      </c>
      <c r="G29" s="2">
        <f>SUMIF(VendasEx[REGISTRO],REGISTROS[[#This Row],[REGISTRO]],VendasEx[VENDAS])</f>
        <v>0</v>
      </c>
      <c r="H29" s="2">
        <f>SUMIF(VENDASUFS[REGISTRO],REGISTROS[[#This Row],[REGISTRO]],VENDASUFS[VENDAS])</f>
        <v>0</v>
      </c>
      <c r="I29" s="3">
        <f>SUMIF(DEVPR[REGISTRO],REGISTROS[[#This Row],[REGISTRO]],DEVPR[VENDAS])</f>
        <v>0</v>
      </c>
      <c r="J29" s="3">
        <f>SUMIF(DEVEX[REGISTRO],REGISTROS[[#This Row],[REGISTRO]],DEVEX[VENDAS])</f>
        <v>0</v>
      </c>
      <c r="K29" s="3">
        <f>SUMIF(devufs[REGISTRO],REGISTROS[[#This Row],[REGISTRO]],devufs[VENDAS])</f>
        <v>0</v>
      </c>
    </row>
    <row r="30" spans="2:11" x14ac:dyDescent="0.25">
      <c r="B30" t="s">
        <v>770</v>
      </c>
      <c r="C30" s="2">
        <f>SUMIF(SLDINI[REGISTRO],REGISTROS[[#This Row],[REGISTRO]],SLDINI[SLDINI])</f>
        <v>3688</v>
      </c>
      <c r="D30" s="2">
        <f>SUMIF(SLDFINAL[REGISTRO],REGISTROS[[#This Row],[REGISTRO]],SLDFINAL[SLDFIM])</f>
        <v>3688</v>
      </c>
      <c r="E30" s="2">
        <f>SUMIF(producoes[REGISTRO],REGISTROS[[#This Row],[REGISTRO]],producoes[PRODUZIDO])</f>
        <v>0</v>
      </c>
      <c r="F30" s="2">
        <f>SUMIF(VendasPr[REGISTRO],REGISTROS[[#This Row],[REGISTRO]],VendasPr[VENDAS])</f>
        <v>0</v>
      </c>
      <c r="G30" s="2">
        <f>SUMIF(VendasEx[REGISTRO],REGISTROS[[#This Row],[REGISTRO]],VendasEx[VENDAS])</f>
        <v>0</v>
      </c>
      <c r="H30" s="2">
        <f>SUMIF(VENDASUFS[REGISTRO],REGISTROS[[#This Row],[REGISTRO]],VENDASUFS[VENDAS])</f>
        <v>0</v>
      </c>
      <c r="I30" s="3">
        <f>SUMIF(DEVPR[REGISTRO],REGISTROS[[#This Row],[REGISTRO]],DEVPR[VENDAS])</f>
        <v>0</v>
      </c>
      <c r="J30" s="3">
        <f>SUMIF(DEVEX[REGISTRO],REGISTROS[[#This Row],[REGISTRO]],DEVEX[VENDAS])</f>
        <v>0</v>
      </c>
      <c r="K30" s="3">
        <f>SUMIF(devufs[REGISTRO],REGISTROS[[#This Row],[REGISTRO]],devufs[VENDAS])</f>
        <v>0</v>
      </c>
    </row>
    <row r="31" spans="2:11" x14ac:dyDescent="0.25">
      <c r="B31" t="s">
        <v>8</v>
      </c>
      <c r="C31" s="2">
        <f>SUMIF(SLDINI[REGISTRO],REGISTROS[[#This Row],[REGISTRO]],SLDINI[SLDINI])</f>
        <v>31840</v>
      </c>
      <c r="D31" s="2">
        <f>SUMIF(SLDFINAL[REGISTRO],REGISTROS[[#This Row],[REGISTRO]],SLDFINAL[SLDFIM])</f>
        <v>63356</v>
      </c>
      <c r="E31" s="2">
        <f>SUMIF(producoes[REGISTRO],REGISTROS[[#This Row],[REGISTRO]],producoes[PRODUZIDO])</f>
        <v>695300</v>
      </c>
      <c r="F31" s="2">
        <f>SUMIF(VendasPr[REGISTRO],REGISTROS[[#This Row],[REGISTRO]],VendasPr[VENDAS])</f>
        <v>59216</v>
      </c>
      <c r="G31" s="2">
        <f>SUMIF(VendasEx[REGISTRO],REGISTROS[[#This Row],[REGISTRO]],VendasEx[VENDAS])</f>
        <v>122640</v>
      </c>
      <c r="H31" s="2">
        <f>SUMIF(VENDASUFS[REGISTRO],REGISTROS[[#This Row],[REGISTRO]],VENDASUFS[VENDAS])</f>
        <v>482356</v>
      </c>
      <c r="I31" s="3">
        <f>SUMIF(DEVPR[REGISTRO],REGISTROS[[#This Row],[REGISTRO]],DEVPR[VENDAS])</f>
        <v>8</v>
      </c>
      <c r="J31" s="3">
        <f>SUMIF(DEVEX[REGISTRO],REGISTROS[[#This Row],[REGISTRO]],DEVEX[VENDAS])</f>
        <v>0</v>
      </c>
      <c r="K31" s="3">
        <f>SUMIF(devufs[REGISTRO],REGISTROS[[#This Row],[REGISTRO]],devufs[VENDAS])</f>
        <v>420</v>
      </c>
    </row>
    <row r="32" spans="2:11" x14ac:dyDescent="0.25">
      <c r="B32" t="s">
        <v>31</v>
      </c>
      <c r="C32" s="2">
        <f>SUMIF(SLDINI[REGISTRO],REGISTROS[[#This Row],[REGISTRO]],SLDINI[SLDINI])</f>
        <v>16</v>
      </c>
      <c r="D32" s="2">
        <f>SUMIF(SLDFINAL[REGISTRO],REGISTROS[[#This Row],[REGISTRO]],SLDFINAL[SLDFIM])</f>
        <v>7276</v>
      </c>
      <c r="E32" s="2">
        <f>SUMIF(producoes[REGISTRO],REGISTROS[[#This Row],[REGISTRO]],producoes[PRODUZIDO])</f>
        <v>12540</v>
      </c>
      <c r="F32" s="2">
        <f>SUMIF(VendasPr[REGISTRO],REGISTROS[[#This Row],[REGISTRO]],VendasPr[VENDAS])</f>
        <v>0</v>
      </c>
      <c r="G32" s="2">
        <f>SUMIF(VendasEx[REGISTRO],REGISTROS[[#This Row],[REGISTRO]],VendasEx[VENDAS])</f>
        <v>5280</v>
      </c>
      <c r="H32" s="2">
        <f>SUMIF(VENDASUFS[REGISTRO],REGISTROS[[#This Row],[REGISTRO]],VENDASUFS[VENDAS])</f>
        <v>9240</v>
      </c>
      <c r="I32" s="3">
        <f>SUMIF(DEVPR[REGISTRO],REGISTROS[[#This Row],[REGISTRO]],DEVPR[VENDAS])</f>
        <v>0</v>
      </c>
      <c r="J32" s="3">
        <f>SUMIF(DEVEX[REGISTRO],REGISTROS[[#This Row],[REGISTRO]],DEVEX[VENDAS])</f>
        <v>0</v>
      </c>
      <c r="K32" s="3">
        <f>SUMIF(devufs[REGISTRO],REGISTROS[[#This Row],[REGISTRO]],devufs[VENDAS])</f>
        <v>9240</v>
      </c>
    </row>
    <row r="33" spans="2:11" x14ac:dyDescent="0.25">
      <c r="B33" t="s">
        <v>151</v>
      </c>
      <c r="C33" s="2">
        <f>SUMIF(SLDINI[REGISTRO],REGISTROS[[#This Row],[REGISTRO]],SLDINI[SLDINI])</f>
        <v>300</v>
      </c>
      <c r="D33" s="2">
        <f>SUMIF(SLDFINAL[REGISTRO],REGISTROS[[#This Row],[REGISTRO]],SLDFINAL[SLDFIM])</f>
        <v>1000</v>
      </c>
      <c r="E33" s="2">
        <f>SUMIF(producoes[REGISTRO],REGISTROS[[#This Row],[REGISTRO]],producoes[PRODUZIDO])</f>
        <v>0</v>
      </c>
      <c r="F33" s="2">
        <f>SUMIF(VendasPr[REGISTRO],REGISTROS[[#This Row],[REGISTRO]],VendasPr[VENDAS])</f>
        <v>0</v>
      </c>
      <c r="G33" s="2">
        <f>SUMIF(VendasEx[REGISTRO],REGISTROS[[#This Row],[REGISTRO]],VendasEx[VENDAS])</f>
        <v>0</v>
      </c>
      <c r="H33" s="2">
        <f>SUMIF(VENDASUFS[REGISTRO],REGISTROS[[#This Row],[REGISTRO]],VENDASUFS[VENDAS])</f>
        <v>0</v>
      </c>
      <c r="I33" s="3">
        <f>SUMIF(DEVPR[REGISTRO],REGISTROS[[#This Row],[REGISTRO]],DEVPR[VENDAS])</f>
        <v>0</v>
      </c>
      <c r="J33" s="3">
        <f>SUMIF(DEVEX[REGISTRO],REGISTROS[[#This Row],[REGISTRO]],DEVEX[VENDAS])</f>
        <v>0</v>
      </c>
      <c r="K33" s="3">
        <f>SUMIF(devufs[REGISTRO],REGISTROS[[#This Row],[REGISTRO]],devufs[VENDAS])</f>
        <v>0</v>
      </c>
    </row>
    <row r="34" spans="2:11" x14ac:dyDescent="0.25">
      <c r="B34" t="s">
        <v>20</v>
      </c>
      <c r="C34" s="2">
        <f>SUMIF(SLDINI[REGISTRO],REGISTROS[[#This Row],[REGISTRO]],SLDINI[SLDINI])</f>
        <v>52586</v>
      </c>
      <c r="D34" s="2">
        <f>SUMIF(SLDFINAL[REGISTRO],REGISTROS[[#This Row],[REGISTRO]],SLDFINAL[SLDFIM])</f>
        <v>48670</v>
      </c>
      <c r="E34" s="2">
        <f>SUMIF(producoes[REGISTRO],REGISTROS[[#This Row],[REGISTRO]],producoes[PRODUZIDO])</f>
        <v>30600</v>
      </c>
      <c r="F34" s="2">
        <f>SUMIF(VendasPr[REGISTRO],REGISTROS[[#This Row],[REGISTRO]],VendasPr[VENDAS])</f>
        <v>20270</v>
      </c>
      <c r="G34" s="2">
        <f>SUMIF(VendasEx[REGISTRO],REGISTROS[[#This Row],[REGISTRO]],VendasEx[VENDAS])</f>
        <v>0</v>
      </c>
      <c r="H34" s="2">
        <f>SUMIF(VENDASUFS[REGISTRO],REGISTROS[[#This Row],[REGISTRO]],VENDASUFS[VENDAS])</f>
        <v>15176</v>
      </c>
      <c r="I34" s="3">
        <f>SUMIF(DEVPR[REGISTRO],REGISTROS[[#This Row],[REGISTRO]],DEVPR[VENDAS])</f>
        <v>0</v>
      </c>
      <c r="J34" s="3">
        <f>SUMIF(DEVEX[REGISTRO],REGISTROS[[#This Row],[REGISTRO]],DEVEX[VENDAS])</f>
        <v>0</v>
      </c>
      <c r="K34" s="3">
        <f>SUMIF(devufs[REGISTRO],REGISTROS[[#This Row],[REGISTRO]],devufs[VENDAS])</f>
        <v>670</v>
      </c>
    </row>
    <row r="35" spans="2:11" x14ac:dyDescent="0.25">
      <c r="B35" t="s">
        <v>209</v>
      </c>
      <c r="C35" s="2">
        <f>SUMIF(SLDINI[REGISTRO],REGISTROS[[#This Row],[REGISTRO]],SLDINI[SLDINI])</f>
        <v>2021</v>
      </c>
      <c r="D35" s="2">
        <f>SUMIF(SLDFINAL[REGISTRO],REGISTROS[[#This Row],[REGISTRO]],SLDFINAL[SLDFIM])</f>
        <v>122</v>
      </c>
      <c r="E35" s="2">
        <f>SUMIF(producoes[REGISTRO],REGISTROS[[#This Row],[REGISTRO]],producoes[PRODUZIDO])</f>
        <v>715</v>
      </c>
      <c r="F35" s="2">
        <f>SUMIF(VendasPr[REGISTRO],REGISTROS[[#This Row],[REGISTRO]],VendasPr[VENDAS])</f>
        <v>28</v>
      </c>
      <c r="G35" s="2">
        <f>SUMIF(VendasEx[REGISTRO],REGISTROS[[#This Row],[REGISTRO]],VendasEx[VENDAS])</f>
        <v>0</v>
      </c>
      <c r="H35" s="2">
        <f>SUMIF(VENDASUFS[REGISTRO],REGISTROS[[#This Row],[REGISTRO]],VENDASUFS[VENDAS])</f>
        <v>2666</v>
      </c>
      <c r="I35" s="3">
        <f>SUMIF(DEVPR[REGISTRO],REGISTROS[[#This Row],[REGISTRO]],DEVPR[VENDAS])</f>
        <v>0</v>
      </c>
      <c r="J35" s="3">
        <f>SUMIF(DEVEX[REGISTRO],REGISTROS[[#This Row],[REGISTRO]],DEVEX[VENDAS])</f>
        <v>0</v>
      </c>
      <c r="K35" s="3">
        <f>SUMIF(devufs[REGISTRO],REGISTROS[[#This Row],[REGISTRO]],devufs[VENDAS])</f>
        <v>80</v>
      </c>
    </row>
    <row r="36" spans="2:11" x14ac:dyDescent="0.25">
      <c r="B36" t="s">
        <v>86</v>
      </c>
      <c r="C36" s="2">
        <f>SUMIF(SLDINI[REGISTRO],REGISTROS[[#This Row],[REGISTRO]],SLDINI[SLDINI])</f>
        <v>0</v>
      </c>
      <c r="D36" s="2">
        <f>SUMIF(SLDFINAL[REGISTRO],REGISTROS[[#This Row],[REGISTRO]],SLDFINAL[SLDFIM])</f>
        <v>0</v>
      </c>
      <c r="E36" s="2">
        <f>SUMIF(producoes[REGISTRO],REGISTROS[[#This Row],[REGISTRO]],producoes[PRODUZIDO])</f>
        <v>0</v>
      </c>
      <c r="F36" s="2">
        <f>SUMIF(VendasPr[REGISTRO],REGISTROS[[#This Row],[REGISTRO]],VendasPr[VENDAS])</f>
        <v>0</v>
      </c>
      <c r="G36" s="2">
        <f>SUMIF(VendasEx[REGISTRO],REGISTROS[[#This Row],[REGISTRO]],VendasEx[VENDAS])</f>
        <v>0</v>
      </c>
      <c r="H36" s="2">
        <f>SUMIF(VENDASUFS[REGISTRO],REGISTROS[[#This Row],[REGISTRO]],VENDASUFS[VENDAS])</f>
        <v>0</v>
      </c>
      <c r="I36" s="3">
        <f>SUMIF(DEVPR[REGISTRO],REGISTROS[[#This Row],[REGISTRO]],DEVPR[VENDAS])</f>
        <v>0</v>
      </c>
      <c r="J36" s="3">
        <f>SUMIF(DEVEX[REGISTRO],REGISTROS[[#This Row],[REGISTRO]],DEVEX[VENDAS])</f>
        <v>0</v>
      </c>
      <c r="K36" s="3">
        <f>SUMIF(devufs[REGISTRO],REGISTROS[[#This Row],[REGISTRO]],devufs[VENDAS])</f>
        <v>0</v>
      </c>
    </row>
    <row r="37" spans="2:11" x14ac:dyDescent="0.25">
      <c r="B37" t="s">
        <v>11</v>
      </c>
      <c r="C37" s="2">
        <f>SUMIF(SLDINI[REGISTRO],REGISTROS[[#This Row],[REGISTRO]],SLDINI[SLDINI])</f>
        <v>41985</v>
      </c>
      <c r="D37" s="2">
        <f>SUMIF(SLDFINAL[REGISTRO],REGISTROS[[#This Row],[REGISTRO]],SLDFINAL[SLDFIM])</f>
        <v>35624</v>
      </c>
      <c r="E37" s="2">
        <f>SUMIF(producoes[REGISTRO],REGISTROS[[#This Row],[REGISTRO]],producoes[PRODUZIDO])</f>
        <v>15280</v>
      </c>
      <c r="F37" s="2">
        <f>SUMIF(VendasPr[REGISTRO],REGISTROS[[#This Row],[REGISTRO]],VendasPr[VENDAS])</f>
        <v>12710</v>
      </c>
      <c r="G37" s="2">
        <f>SUMIF(VendasEx[REGISTRO],REGISTROS[[#This Row],[REGISTRO]],VendasEx[VENDAS])</f>
        <v>0</v>
      </c>
      <c r="H37" s="2">
        <f>SUMIF(VENDASUFS[REGISTRO],REGISTROS[[#This Row],[REGISTRO]],VENDASUFS[VENDAS])</f>
        <v>9221</v>
      </c>
      <c r="I37" s="3">
        <f>SUMIF(DEVPR[REGISTRO],REGISTROS[[#This Row],[REGISTRO]],DEVPR[VENDAS])</f>
        <v>100</v>
      </c>
      <c r="J37" s="3">
        <f>SUMIF(DEVEX[REGISTRO],REGISTROS[[#This Row],[REGISTRO]],DEVEX[VENDAS])</f>
        <v>0</v>
      </c>
      <c r="K37" s="3">
        <f>SUMIF(devufs[REGISTRO],REGISTROS[[#This Row],[REGISTRO]],devufs[VENDAS])</f>
        <v>150</v>
      </c>
    </row>
    <row r="38" spans="2:11" x14ac:dyDescent="0.25">
      <c r="B38" t="s">
        <v>438</v>
      </c>
      <c r="C38" s="2">
        <f>SUMIF(SLDINI[REGISTRO],REGISTROS[[#This Row],[REGISTRO]],SLDINI[SLDINI])</f>
        <v>0</v>
      </c>
      <c r="D38" s="2">
        <f>SUMIF(SLDFINAL[REGISTRO],REGISTROS[[#This Row],[REGISTRO]],SLDFINAL[SLDFIM])</f>
        <v>0</v>
      </c>
      <c r="E38" s="2">
        <f>SUMIF(producoes[REGISTRO],REGISTROS[[#This Row],[REGISTRO]],producoes[PRODUZIDO])</f>
        <v>0</v>
      </c>
      <c r="F38" s="2">
        <f>SUMIF(VendasPr[REGISTRO],REGISTROS[[#This Row],[REGISTRO]],VendasPr[VENDAS])</f>
        <v>0</v>
      </c>
      <c r="G38" s="2">
        <f>SUMIF(VendasEx[REGISTRO],REGISTROS[[#This Row],[REGISTRO]],VendasEx[VENDAS])</f>
        <v>0</v>
      </c>
      <c r="H38" s="2">
        <f>SUMIF(VENDASUFS[REGISTRO],REGISTROS[[#This Row],[REGISTRO]],VENDASUFS[VENDAS])</f>
        <v>0</v>
      </c>
      <c r="I38" s="3">
        <f>SUMIF(DEVPR[REGISTRO],REGISTROS[[#This Row],[REGISTRO]],DEVPR[VENDAS])</f>
        <v>0</v>
      </c>
      <c r="J38" s="3">
        <f>SUMIF(DEVEX[REGISTRO],REGISTROS[[#This Row],[REGISTRO]],DEVEX[VENDAS])</f>
        <v>0</v>
      </c>
      <c r="K38" s="3">
        <f>SUMIF(devufs[REGISTRO],REGISTROS[[#This Row],[REGISTRO]],devufs[VENDAS])</f>
        <v>0</v>
      </c>
    </row>
    <row r="39" spans="2:11" x14ac:dyDescent="0.25">
      <c r="B39" t="s">
        <v>237</v>
      </c>
      <c r="C39" s="2">
        <f>SUMIF(SLDINI[REGISTRO],REGISTROS[[#This Row],[REGISTRO]],SLDINI[SLDINI])</f>
        <v>1472</v>
      </c>
      <c r="D39" s="2">
        <f>SUMIF(SLDFINAL[REGISTRO],REGISTROS[[#This Row],[REGISTRO]],SLDFINAL[SLDFIM])</f>
        <v>1267</v>
      </c>
      <c r="E39" s="2">
        <f>SUMIF(producoes[REGISTRO],REGISTROS[[#This Row],[REGISTRO]],producoes[PRODUZIDO])</f>
        <v>0</v>
      </c>
      <c r="F39" s="2">
        <f>SUMIF(VendasPr[REGISTRO],REGISTROS[[#This Row],[REGISTRO]],VendasPr[VENDAS])</f>
        <v>204</v>
      </c>
      <c r="G39" s="2">
        <f>SUMIF(VendasEx[REGISTRO],REGISTROS[[#This Row],[REGISTRO]],VendasEx[VENDAS])</f>
        <v>0</v>
      </c>
      <c r="H39" s="2">
        <f>SUMIF(VENDASUFS[REGISTRO],REGISTROS[[#This Row],[REGISTRO]],VENDASUFS[VENDAS])</f>
        <v>5</v>
      </c>
      <c r="I39" s="3">
        <f>SUMIF(DEVPR[REGISTRO],REGISTROS[[#This Row],[REGISTRO]],DEVPR[VENDAS])</f>
        <v>0</v>
      </c>
      <c r="J39" s="3">
        <f>SUMIF(DEVEX[REGISTRO],REGISTROS[[#This Row],[REGISTRO]],DEVEX[VENDAS])</f>
        <v>0</v>
      </c>
      <c r="K39" s="3">
        <f>SUMIF(devufs[REGISTRO],REGISTROS[[#This Row],[REGISTRO]],devufs[VENDAS])</f>
        <v>4</v>
      </c>
    </row>
    <row r="40" spans="2:11" x14ac:dyDescent="0.25">
      <c r="B40" t="s">
        <v>198</v>
      </c>
      <c r="C40" s="2">
        <f>SUMIF(SLDINI[REGISTRO],REGISTROS[[#This Row],[REGISTRO]],SLDINI[SLDINI])</f>
        <v>0</v>
      </c>
      <c r="D40" s="2">
        <f>SUMIF(SLDFINAL[REGISTRO],REGISTROS[[#This Row],[REGISTRO]],SLDFINAL[SLDFIM])</f>
        <v>0</v>
      </c>
      <c r="E40" s="2">
        <f>SUMIF(producoes[REGISTRO],REGISTROS[[#This Row],[REGISTRO]],producoes[PRODUZIDO])</f>
        <v>0</v>
      </c>
      <c r="F40" s="2">
        <f>SUMIF(VendasPr[REGISTRO],REGISTROS[[#This Row],[REGISTRO]],VendasPr[VENDAS])</f>
        <v>0</v>
      </c>
      <c r="G40" s="2">
        <f>SUMIF(VendasEx[REGISTRO],REGISTROS[[#This Row],[REGISTRO]],VendasEx[VENDAS])</f>
        <v>0</v>
      </c>
      <c r="H40" s="2">
        <f>SUMIF(VENDASUFS[REGISTRO],REGISTROS[[#This Row],[REGISTRO]],VENDASUFS[VENDAS])</f>
        <v>0</v>
      </c>
      <c r="I40" s="3">
        <f>SUMIF(DEVPR[REGISTRO],REGISTROS[[#This Row],[REGISTRO]],DEVPR[VENDAS])</f>
        <v>0</v>
      </c>
      <c r="J40" s="3">
        <f>SUMIF(DEVEX[REGISTRO],REGISTROS[[#This Row],[REGISTRO]],DEVEX[VENDAS])</f>
        <v>0</v>
      </c>
      <c r="K40" s="3">
        <f>SUMIF(devufs[REGISTRO],REGISTROS[[#This Row],[REGISTRO]],devufs[VENDAS])</f>
        <v>0</v>
      </c>
    </row>
    <row r="41" spans="2:11" x14ac:dyDescent="0.25">
      <c r="B41" t="s">
        <v>623</v>
      </c>
      <c r="C41" s="2">
        <f>SUMIF(SLDINI[REGISTRO],REGISTROS[[#This Row],[REGISTRO]],SLDINI[SLDINI])</f>
        <v>7798</v>
      </c>
      <c r="D41" s="2">
        <f>SUMIF(SLDFINAL[REGISTRO],REGISTROS[[#This Row],[REGISTRO]],SLDFINAL[SLDFIM])</f>
        <v>7289</v>
      </c>
      <c r="E41" s="2">
        <f>SUMIF(producoes[REGISTRO],REGISTROS[[#This Row],[REGISTRO]],producoes[PRODUZIDO])</f>
        <v>10961</v>
      </c>
      <c r="F41" s="2">
        <f>SUMIF(VendasPr[REGISTRO],REGISTROS[[#This Row],[REGISTRO]],VendasPr[VENDAS])</f>
        <v>3390</v>
      </c>
      <c r="G41" s="2">
        <f>SUMIF(VendasEx[REGISTRO],REGISTROS[[#This Row],[REGISTRO]],VendasEx[VENDAS])</f>
        <v>0</v>
      </c>
      <c r="H41" s="2">
        <f>SUMIF(VENDASUFS[REGISTRO],REGISTROS[[#This Row],[REGISTRO]],VENDASUFS[VENDAS])</f>
        <v>8280</v>
      </c>
      <c r="I41" s="3">
        <f>SUMIF(DEVPR[REGISTRO],REGISTROS[[#This Row],[REGISTRO]],DEVPR[VENDAS])</f>
        <v>0</v>
      </c>
      <c r="J41" s="3">
        <f>SUMIF(DEVEX[REGISTRO],REGISTROS[[#This Row],[REGISTRO]],DEVEX[VENDAS])</f>
        <v>0</v>
      </c>
      <c r="K41" s="3">
        <f>SUMIF(devufs[REGISTRO],REGISTROS[[#This Row],[REGISTRO]],devufs[VENDAS])</f>
        <v>200</v>
      </c>
    </row>
    <row r="42" spans="2:11" x14ac:dyDescent="0.25">
      <c r="B42" t="s">
        <v>83</v>
      </c>
      <c r="C42" s="2">
        <f>SUMIF(SLDINI[REGISTRO],REGISTROS[[#This Row],[REGISTRO]],SLDINI[SLDINI])</f>
        <v>13134</v>
      </c>
      <c r="D42" s="2">
        <f>SUMIF(SLDFINAL[REGISTRO],REGISTROS[[#This Row],[REGISTRO]],SLDFINAL[SLDFIM])</f>
        <v>12531</v>
      </c>
      <c r="E42" s="2">
        <f>SUMIF(producoes[REGISTRO],REGISTROS[[#This Row],[REGISTRO]],producoes[PRODUZIDO])</f>
        <v>0</v>
      </c>
      <c r="F42" s="2">
        <f>SUMIF(VendasPr[REGISTRO],REGISTROS[[#This Row],[REGISTRO]],VendasPr[VENDAS])</f>
        <v>508</v>
      </c>
      <c r="G42" s="2">
        <f>SUMIF(VendasEx[REGISTRO],REGISTROS[[#This Row],[REGISTRO]],VendasEx[VENDAS])</f>
        <v>0</v>
      </c>
      <c r="H42" s="2">
        <f>SUMIF(VENDASUFS[REGISTRO],REGISTROS[[#This Row],[REGISTRO]],VENDASUFS[VENDAS])</f>
        <v>115</v>
      </c>
      <c r="I42" s="3">
        <f>SUMIF(DEVPR[REGISTRO],REGISTROS[[#This Row],[REGISTRO]],DEVPR[VENDAS])</f>
        <v>0</v>
      </c>
      <c r="J42" s="3">
        <f>SUMIF(DEVEX[REGISTRO],REGISTROS[[#This Row],[REGISTRO]],DEVEX[VENDAS])</f>
        <v>0</v>
      </c>
      <c r="K42" s="3">
        <f>SUMIF(devufs[REGISTRO],REGISTROS[[#This Row],[REGISTRO]],devufs[VENDAS])</f>
        <v>20</v>
      </c>
    </row>
    <row r="43" spans="2:11" x14ac:dyDescent="0.25">
      <c r="B43" t="s">
        <v>140</v>
      </c>
      <c r="C43" s="2">
        <f>SUMIF(SLDINI[REGISTRO],REGISTROS[[#This Row],[REGISTRO]],SLDINI[SLDINI])</f>
        <v>1237</v>
      </c>
      <c r="D43" s="2">
        <f>SUMIF(SLDFINAL[REGISTRO],REGISTROS[[#This Row],[REGISTRO]],SLDFINAL[SLDFIM])</f>
        <v>1115</v>
      </c>
      <c r="E43" s="2">
        <f>SUMIF(producoes[REGISTRO],REGISTROS[[#This Row],[REGISTRO]],producoes[PRODUZIDO])</f>
        <v>0</v>
      </c>
      <c r="F43" s="2">
        <f>SUMIF(VendasPr[REGISTRO],REGISTROS[[#This Row],[REGISTRO]],VendasPr[VENDAS])</f>
        <v>74</v>
      </c>
      <c r="G43" s="2">
        <f>SUMIF(VendasEx[REGISTRO],REGISTROS[[#This Row],[REGISTRO]],VendasEx[VENDAS])</f>
        <v>0</v>
      </c>
      <c r="H43" s="2">
        <f>SUMIF(VENDASUFS[REGISTRO],REGISTROS[[#This Row],[REGISTRO]],VENDASUFS[VENDAS])</f>
        <v>48</v>
      </c>
      <c r="I43" s="3">
        <f>SUMIF(DEVPR[REGISTRO],REGISTROS[[#This Row],[REGISTRO]],DEVPR[VENDAS])</f>
        <v>0</v>
      </c>
      <c r="J43" s="3">
        <f>SUMIF(DEVEX[REGISTRO],REGISTROS[[#This Row],[REGISTRO]],DEVEX[VENDAS])</f>
        <v>0</v>
      </c>
      <c r="K43" s="3">
        <f>SUMIF(devufs[REGISTRO],REGISTROS[[#This Row],[REGISTRO]],devufs[VENDAS])</f>
        <v>0</v>
      </c>
    </row>
    <row r="44" spans="2:11" x14ac:dyDescent="0.25">
      <c r="B44" t="s">
        <v>203</v>
      </c>
      <c r="C44" s="2">
        <f>SUMIF(SLDINI[REGISTRO],REGISTROS[[#This Row],[REGISTRO]],SLDINI[SLDINI])</f>
        <v>18950</v>
      </c>
      <c r="D44" s="2">
        <f>SUMIF(SLDFINAL[REGISTRO],REGISTROS[[#This Row],[REGISTRO]],SLDFINAL[SLDFIM])</f>
        <v>17051</v>
      </c>
      <c r="E44" s="2">
        <f>SUMIF(producoes[REGISTRO],REGISTROS[[#This Row],[REGISTRO]],producoes[PRODUZIDO])</f>
        <v>0</v>
      </c>
      <c r="F44" s="2">
        <f>SUMIF(VendasPr[REGISTRO],REGISTROS[[#This Row],[REGISTRO]],VendasPr[VENDAS])</f>
        <v>300</v>
      </c>
      <c r="G44" s="2">
        <f>SUMIF(VendasEx[REGISTRO],REGISTROS[[#This Row],[REGISTRO]],VendasEx[VENDAS])</f>
        <v>0</v>
      </c>
      <c r="H44" s="2">
        <f>SUMIF(VENDASUFS[REGISTRO],REGISTROS[[#This Row],[REGISTRO]],VENDASUFS[VENDAS])</f>
        <v>1599</v>
      </c>
      <c r="I44" s="3">
        <f>SUMIF(DEVPR[REGISTRO],REGISTROS[[#This Row],[REGISTRO]],DEVPR[VENDAS])</f>
        <v>0</v>
      </c>
      <c r="J44" s="3">
        <f>SUMIF(DEVEX[REGISTRO],REGISTROS[[#This Row],[REGISTRO]],DEVEX[VENDAS])</f>
        <v>0</v>
      </c>
      <c r="K44" s="3">
        <f>SUMIF(devufs[REGISTRO],REGISTROS[[#This Row],[REGISTRO]],devufs[VENDAS])</f>
        <v>0</v>
      </c>
    </row>
    <row r="45" spans="2:11" x14ac:dyDescent="0.25">
      <c r="B45" t="s">
        <v>217</v>
      </c>
      <c r="C45" s="2">
        <f>SUMIF(SLDINI[REGISTRO],REGISTROS[[#This Row],[REGISTRO]],SLDINI[SLDINI])</f>
        <v>12876</v>
      </c>
      <c r="D45" s="2">
        <f>SUMIF(SLDFINAL[REGISTRO],REGISTROS[[#This Row],[REGISTRO]],SLDFINAL[SLDFIM])</f>
        <v>11056</v>
      </c>
      <c r="E45" s="2">
        <f>SUMIF(producoes[REGISTRO],REGISTROS[[#This Row],[REGISTRO]],producoes[PRODUZIDO])</f>
        <v>0</v>
      </c>
      <c r="F45" s="2">
        <f>SUMIF(VendasPr[REGISTRO],REGISTROS[[#This Row],[REGISTRO]],VendasPr[VENDAS])</f>
        <v>20</v>
      </c>
      <c r="G45" s="2">
        <f>SUMIF(VendasEx[REGISTRO],REGISTROS[[#This Row],[REGISTRO]],VendasEx[VENDAS])</f>
        <v>0</v>
      </c>
      <c r="H45" s="2">
        <f>SUMIF(VENDASUFS[REGISTRO],REGISTROS[[#This Row],[REGISTRO]],VENDASUFS[VENDAS])</f>
        <v>1860</v>
      </c>
      <c r="I45" s="3">
        <f>SUMIF(DEVPR[REGISTRO],REGISTROS[[#This Row],[REGISTRO]],DEVPR[VENDAS])</f>
        <v>60</v>
      </c>
      <c r="J45" s="3">
        <f>SUMIF(DEVEX[REGISTRO],REGISTROS[[#This Row],[REGISTRO]],DEVEX[VENDAS])</f>
        <v>0</v>
      </c>
      <c r="K45" s="3">
        <f>SUMIF(devufs[REGISTRO],REGISTROS[[#This Row],[REGISTRO]],devufs[VENDAS])</f>
        <v>0</v>
      </c>
    </row>
    <row r="46" spans="2:11" x14ac:dyDescent="0.25">
      <c r="B46" t="s">
        <v>377</v>
      </c>
      <c r="C46" s="2">
        <f>SUMIF(SLDINI[REGISTRO],REGISTROS[[#This Row],[REGISTRO]],SLDINI[SLDINI])</f>
        <v>720</v>
      </c>
      <c r="D46" s="2">
        <f>SUMIF(SLDFINAL[REGISTRO],REGISTROS[[#This Row],[REGISTRO]],SLDFINAL[SLDFIM])</f>
        <v>150</v>
      </c>
      <c r="E46" s="2">
        <f>SUMIF(producoes[REGISTRO],REGISTROS[[#This Row],[REGISTRO]],producoes[PRODUZIDO])</f>
        <v>990</v>
      </c>
      <c r="F46" s="2">
        <f>SUMIF(VendasPr[REGISTRO],REGISTROS[[#This Row],[REGISTRO]],VendasPr[VENDAS])</f>
        <v>0</v>
      </c>
      <c r="G46" s="2">
        <f>SUMIF(VendasEx[REGISTRO],REGISTROS[[#This Row],[REGISTRO]],VendasEx[VENDAS])</f>
        <v>0</v>
      </c>
      <c r="H46" s="2">
        <f>SUMIF(VENDASUFS[REGISTRO],REGISTROS[[#This Row],[REGISTRO]],VENDASUFS[VENDAS])</f>
        <v>1560</v>
      </c>
      <c r="I46" s="3">
        <f>SUMIF(DEVPR[REGISTRO],REGISTROS[[#This Row],[REGISTRO]],DEVPR[VENDAS])</f>
        <v>0</v>
      </c>
      <c r="J46" s="3">
        <f>SUMIF(DEVEX[REGISTRO],REGISTROS[[#This Row],[REGISTRO]],DEVEX[VENDAS])</f>
        <v>0</v>
      </c>
      <c r="K46" s="3">
        <f>SUMIF(devufs[REGISTRO],REGISTROS[[#This Row],[REGISTRO]],devufs[VENDAS])</f>
        <v>0</v>
      </c>
    </row>
    <row r="47" spans="2:11" x14ac:dyDescent="0.25">
      <c r="B47" t="s">
        <v>1313</v>
      </c>
      <c r="C47" s="2">
        <f>SUMIF(SLDINI[REGISTRO],REGISTROS[[#This Row],[REGISTRO]],SLDINI[SLDINI])</f>
        <v>80</v>
      </c>
      <c r="D47" s="2">
        <f>SUMIF(SLDFINAL[REGISTRO],REGISTROS[[#This Row],[REGISTRO]],SLDFINAL[SLDFIM])</f>
        <v>80</v>
      </c>
      <c r="E47" s="2">
        <f>SUMIF(producoes[REGISTRO],REGISTROS[[#This Row],[REGISTRO]],producoes[PRODUZIDO])</f>
        <v>0</v>
      </c>
      <c r="F47" s="2">
        <f>SUMIF(VendasPr[REGISTRO],REGISTROS[[#This Row],[REGISTRO]],VendasPr[VENDAS])</f>
        <v>0</v>
      </c>
      <c r="G47" s="2">
        <f>SUMIF(VendasEx[REGISTRO],REGISTROS[[#This Row],[REGISTRO]],VendasEx[VENDAS])</f>
        <v>0</v>
      </c>
      <c r="H47" s="2">
        <f>SUMIF(VENDASUFS[REGISTRO],REGISTROS[[#This Row],[REGISTRO]],VENDASUFS[VENDAS])</f>
        <v>0</v>
      </c>
      <c r="I47" s="3">
        <f>SUMIF(DEVPR[REGISTRO],REGISTROS[[#This Row],[REGISTRO]],DEVPR[VENDAS])</f>
        <v>0</v>
      </c>
      <c r="J47" s="3">
        <f>SUMIF(DEVEX[REGISTRO],REGISTROS[[#This Row],[REGISTRO]],DEVEX[VENDAS])</f>
        <v>0</v>
      </c>
      <c r="K47" s="3">
        <f>SUMIF(devufs[REGISTRO],REGISTROS[[#This Row],[REGISTRO]],devufs[VENDAS])</f>
        <v>0</v>
      </c>
    </row>
    <row r="48" spans="2:11" x14ac:dyDescent="0.25">
      <c r="B48" t="s">
        <v>14</v>
      </c>
      <c r="C48" s="2">
        <f>SUMIF(SLDINI[REGISTRO],REGISTROS[[#This Row],[REGISTRO]],SLDINI[SLDINI])</f>
        <v>7865</v>
      </c>
      <c r="D48" s="2">
        <f>SUMIF(SLDFINAL[REGISTRO],REGISTROS[[#This Row],[REGISTRO]],SLDFINAL[SLDFIM])</f>
        <v>7865</v>
      </c>
      <c r="E48" s="2">
        <f>SUMIF(producoes[REGISTRO],REGISTROS[[#This Row],[REGISTRO]],producoes[PRODUZIDO])</f>
        <v>0</v>
      </c>
      <c r="F48" s="2">
        <f>SUMIF(VendasPr[REGISTRO],REGISTROS[[#This Row],[REGISTRO]],VendasPr[VENDAS])</f>
        <v>0</v>
      </c>
      <c r="G48" s="2">
        <f>SUMIF(VendasEx[REGISTRO],REGISTROS[[#This Row],[REGISTRO]],VendasEx[VENDAS])</f>
        <v>0</v>
      </c>
      <c r="H48" s="2">
        <f>SUMIF(VENDASUFS[REGISTRO],REGISTROS[[#This Row],[REGISTRO]],VENDASUFS[VENDAS])</f>
        <v>0</v>
      </c>
      <c r="I48" s="3">
        <f>SUMIF(DEVPR[REGISTRO],REGISTROS[[#This Row],[REGISTRO]],DEVPR[VENDAS])</f>
        <v>0</v>
      </c>
      <c r="J48" s="3">
        <f>SUMIF(DEVEX[REGISTRO],REGISTROS[[#This Row],[REGISTRO]],DEVEX[VENDAS])</f>
        <v>0</v>
      </c>
      <c r="K48" s="3">
        <f>SUMIF(devufs[REGISTRO],REGISTROS[[#This Row],[REGISTRO]],devufs[VENDAS])</f>
        <v>0</v>
      </c>
    </row>
    <row r="49" spans="2:11" x14ac:dyDescent="0.25">
      <c r="B49" t="s">
        <v>206</v>
      </c>
      <c r="C49" s="2">
        <f>SUMIF(SLDINI[REGISTRO],REGISTROS[[#This Row],[REGISTRO]],SLDINI[SLDINI])</f>
        <v>0</v>
      </c>
      <c r="D49" s="2">
        <f>SUMIF(SLDFINAL[REGISTRO],REGISTROS[[#This Row],[REGISTRO]],SLDFINAL[SLDFIM])</f>
        <v>0</v>
      </c>
      <c r="E49" s="2">
        <f>SUMIF(producoes[REGISTRO],REGISTROS[[#This Row],[REGISTRO]],producoes[PRODUZIDO])</f>
        <v>0</v>
      </c>
      <c r="F49" s="2">
        <f>SUMIF(VendasPr[REGISTRO],REGISTROS[[#This Row],[REGISTRO]],VendasPr[VENDAS])</f>
        <v>0</v>
      </c>
      <c r="G49" s="2">
        <f>SUMIF(VendasEx[REGISTRO],REGISTROS[[#This Row],[REGISTRO]],VendasEx[VENDAS])</f>
        <v>0</v>
      </c>
      <c r="H49" s="2">
        <f>SUMIF(VENDASUFS[REGISTRO],REGISTROS[[#This Row],[REGISTRO]],VENDASUFS[VENDAS])</f>
        <v>0</v>
      </c>
      <c r="I49" s="3">
        <f>SUMIF(DEVPR[REGISTRO],REGISTROS[[#This Row],[REGISTRO]],DEVPR[VENDAS])</f>
        <v>0</v>
      </c>
      <c r="J49" s="3">
        <f>SUMIF(DEVEX[REGISTRO],REGISTROS[[#This Row],[REGISTRO]],DEVEX[VENDAS])</f>
        <v>0</v>
      </c>
      <c r="K49" s="3">
        <f>SUMIF(devufs[REGISTRO],REGISTROS[[#This Row],[REGISTRO]],devufs[VENDAS])</f>
        <v>0</v>
      </c>
    </row>
    <row r="50" spans="2:11" x14ac:dyDescent="0.25">
      <c r="B50" t="s">
        <v>804</v>
      </c>
      <c r="C50" s="2">
        <f>SUMIF(SLDINI[REGISTRO],REGISTROS[[#This Row],[REGISTRO]],SLDINI[SLDINI])</f>
        <v>385</v>
      </c>
      <c r="D50" s="2">
        <f>SUMIF(SLDFINAL[REGISTRO],REGISTROS[[#This Row],[REGISTRO]],SLDFINAL[SLDFIM])</f>
        <v>385</v>
      </c>
      <c r="E50" s="2">
        <f>SUMIF(producoes[REGISTRO],REGISTROS[[#This Row],[REGISTRO]],producoes[PRODUZIDO])</f>
        <v>0</v>
      </c>
      <c r="F50" s="2">
        <f>SUMIF(VendasPr[REGISTRO],REGISTROS[[#This Row],[REGISTRO]],VendasPr[VENDAS])</f>
        <v>0</v>
      </c>
      <c r="G50" s="2">
        <f>SUMIF(VendasEx[REGISTRO],REGISTROS[[#This Row],[REGISTRO]],VendasEx[VENDAS])</f>
        <v>0</v>
      </c>
      <c r="H50" s="2">
        <f>SUMIF(VENDASUFS[REGISTRO],REGISTROS[[#This Row],[REGISTRO]],VENDASUFS[VENDAS])</f>
        <v>0</v>
      </c>
      <c r="I50" s="3">
        <f>SUMIF(DEVPR[REGISTRO],REGISTROS[[#This Row],[REGISTRO]],DEVPR[VENDAS])</f>
        <v>0</v>
      </c>
      <c r="J50" s="3">
        <f>SUMIF(DEVEX[REGISTRO],REGISTROS[[#This Row],[REGISTRO]],DEVEX[VENDAS])</f>
        <v>0</v>
      </c>
      <c r="K50" s="3">
        <f>SUMIF(devufs[REGISTRO],REGISTROS[[#This Row],[REGISTRO]],devufs[VENDAS])</f>
        <v>0</v>
      </c>
    </row>
    <row r="51" spans="2:11" x14ac:dyDescent="0.25">
      <c r="B51" t="s">
        <v>518</v>
      </c>
      <c r="C51" s="2">
        <f>SUMIF(SLDINI[REGISTRO],REGISTROS[[#This Row],[REGISTRO]],SLDINI[SLDINI])</f>
        <v>2657</v>
      </c>
      <c r="D51" s="2">
        <f>SUMIF(SLDFINAL[REGISTRO],REGISTROS[[#This Row],[REGISTRO]],SLDFINAL[SLDFIM])</f>
        <v>1057</v>
      </c>
      <c r="E51" s="2">
        <f>SUMIF(producoes[REGISTRO],REGISTROS[[#This Row],[REGISTRO]],producoes[PRODUZIDO])</f>
        <v>0</v>
      </c>
      <c r="F51" s="2">
        <f>SUMIF(VendasPr[REGISTRO],REGISTROS[[#This Row],[REGISTRO]],VendasPr[VENDAS])</f>
        <v>0</v>
      </c>
      <c r="G51" s="2">
        <f>SUMIF(VendasEx[REGISTRO],REGISTROS[[#This Row],[REGISTRO]],VendasEx[VENDAS])</f>
        <v>0</v>
      </c>
      <c r="H51" s="2">
        <f>SUMIF(VENDASUFS[REGISTRO],REGISTROS[[#This Row],[REGISTRO]],VENDASUFS[VENDAS])</f>
        <v>1600</v>
      </c>
      <c r="I51" s="3">
        <f>SUMIF(DEVPR[REGISTRO],REGISTROS[[#This Row],[REGISTRO]],DEVPR[VENDAS])</f>
        <v>0</v>
      </c>
      <c r="J51" s="3">
        <f>SUMIF(DEVEX[REGISTRO],REGISTROS[[#This Row],[REGISTRO]],DEVEX[VENDAS])</f>
        <v>0</v>
      </c>
      <c r="K51" s="3">
        <f>SUMIF(devufs[REGISTRO],REGISTROS[[#This Row],[REGISTRO]],devufs[VENDAS])</f>
        <v>0</v>
      </c>
    </row>
    <row r="52" spans="2:11" x14ac:dyDescent="0.25">
      <c r="B52" t="s">
        <v>269</v>
      </c>
      <c r="C52" s="2">
        <f>SUMIF(SLDINI[REGISTRO],REGISTROS[[#This Row],[REGISTRO]],SLDINI[SLDINI])</f>
        <v>5375</v>
      </c>
      <c r="D52" s="2">
        <f>SUMIF(SLDFINAL[REGISTRO],REGISTROS[[#This Row],[REGISTRO]],SLDFINAL[SLDFIM])</f>
        <v>975</v>
      </c>
      <c r="E52" s="2">
        <f>SUMIF(producoes[REGISTRO],REGISTROS[[#This Row],[REGISTRO]],producoes[PRODUZIDO])</f>
        <v>0</v>
      </c>
      <c r="F52" s="2">
        <f>SUMIF(VendasPr[REGISTRO],REGISTROS[[#This Row],[REGISTRO]],VendasPr[VENDAS])</f>
        <v>31500</v>
      </c>
      <c r="G52" s="2">
        <f>SUMIF(VendasEx[REGISTRO],REGISTROS[[#This Row],[REGISTRO]],VendasEx[VENDAS])</f>
        <v>0</v>
      </c>
      <c r="H52" s="2">
        <f>SUMIF(VENDASUFS[REGISTRO],REGISTROS[[#This Row],[REGISTRO]],VENDASUFS[VENDAS])</f>
        <v>0</v>
      </c>
      <c r="I52" s="3">
        <f>SUMIF(DEVPR[REGISTRO],REGISTROS[[#This Row],[REGISTRO]],DEVPR[VENDAS])</f>
        <v>0</v>
      </c>
      <c r="J52" s="3">
        <f>SUMIF(DEVEX[REGISTRO],REGISTROS[[#This Row],[REGISTRO]],DEVEX[VENDAS])</f>
        <v>0</v>
      </c>
      <c r="K52" s="3">
        <f>SUMIF(devufs[REGISTRO],REGISTROS[[#This Row],[REGISTRO]],devufs[VENDAS])</f>
        <v>250</v>
      </c>
    </row>
    <row r="53" spans="2:11" x14ac:dyDescent="0.25">
      <c r="B53" t="s">
        <v>521</v>
      </c>
      <c r="C53" s="2">
        <f>SUMIF(SLDINI[REGISTRO],REGISTROS[[#This Row],[REGISTRO]],SLDINI[SLDINI])</f>
        <v>2271</v>
      </c>
      <c r="D53" s="2">
        <f>SUMIF(SLDFINAL[REGISTRO],REGISTROS[[#This Row],[REGISTRO]],SLDFINAL[SLDFIM])</f>
        <v>105</v>
      </c>
      <c r="E53" s="2">
        <f>SUMIF(producoes[REGISTRO],REGISTROS[[#This Row],[REGISTRO]],producoes[PRODUZIDO])</f>
        <v>3976</v>
      </c>
      <c r="F53" s="2">
        <f>SUMIF(VendasPr[REGISTRO],REGISTROS[[#This Row],[REGISTRO]],VendasPr[VENDAS])</f>
        <v>68</v>
      </c>
      <c r="G53" s="2">
        <f>SUMIF(VendasEx[REGISTRO],REGISTROS[[#This Row],[REGISTRO]],VendasEx[VENDAS])</f>
        <v>0</v>
      </c>
      <c r="H53" s="2">
        <f>SUMIF(VENDASUFS[REGISTRO],REGISTROS[[#This Row],[REGISTRO]],VENDASUFS[VENDAS])</f>
        <v>6074</v>
      </c>
      <c r="I53" s="3">
        <f>SUMIF(DEVPR[REGISTRO],REGISTROS[[#This Row],[REGISTRO]],DEVPR[VENDAS])</f>
        <v>0</v>
      </c>
      <c r="J53" s="3">
        <f>SUMIF(DEVEX[REGISTRO],REGISTROS[[#This Row],[REGISTRO]],DEVEX[VENDAS])</f>
        <v>0</v>
      </c>
      <c r="K53" s="3">
        <f>SUMIF(devufs[REGISTRO],REGISTROS[[#This Row],[REGISTRO]],devufs[VENDAS])</f>
        <v>0</v>
      </c>
    </row>
    <row r="54" spans="2:11" x14ac:dyDescent="0.25">
      <c r="B54" t="s">
        <v>1005</v>
      </c>
      <c r="C54" s="2">
        <f>SUMIF(SLDINI[REGISTRO],REGISTROS[[#This Row],[REGISTRO]],SLDINI[SLDINI])</f>
        <v>6675</v>
      </c>
      <c r="D54" s="2">
        <f>SUMIF(SLDFINAL[REGISTRO],REGISTROS[[#This Row],[REGISTRO]],SLDFINAL[SLDFIM])</f>
        <v>6600</v>
      </c>
      <c r="E54" s="2">
        <f>SUMIF(producoes[REGISTRO],REGISTROS[[#This Row],[REGISTRO]],producoes[PRODUZIDO])</f>
        <v>0</v>
      </c>
      <c r="F54" s="2">
        <f>SUMIF(VendasPr[REGISTRO],REGISTROS[[#This Row],[REGISTRO]],VendasPr[VENDAS])</f>
        <v>75</v>
      </c>
      <c r="G54" s="2">
        <f>SUMIF(VendasEx[REGISTRO],REGISTROS[[#This Row],[REGISTRO]],VendasEx[VENDAS])</f>
        <v>0</v>
      </c>
      <c r="H54" s="2">
        <f>SUMIF(VENDASUFS[REGISTRO],REGISTROS[[#This Row],[REGISTRO]],VENDASUFS[VENDAS])</f>
        <v>0</v>
      </c>
      <c r="I54" s="3">
        <f>SUMIF(DEVPR[REGISTRO],REGISTROS[[#This Row],[REGISTRO]],DEVPR[VENDAS])</f>
        <v>0</v>
      </c>
      <c r="J54" s="3">
        <f>SUMIF(DEVEX[REGISTRO],REGISTROS[[#This Row],[REGISTRO]],DEVEX[VENDAS])</f>
        <v>0</v>
      </c>
      <c r="K54" s="3">
        <f>SUMIF(devufs[REGISTRO],REGISTROS[[#This Row],[REGISTRO]],devufs[VENDAS])</f>
        <v>0</v>
      </c>
    </row>
    <row r="55" spans="2:11" x14ac:dyDescent="0.25">
      <c r="B55" t="s">
        <v>680</v>
      </c>
      <c r="C55" s="2">
        <f>SUMIF(SLDINI[REGISTRO],REGISTROS[[#This Row],[REGISTRO]],SLDINI[SLDINI])</f>
        <v>0</v>
      </c>
      <c r="D55" s="2">
        <f>SUMIF(SLDFINAL[REGISTRO],REGISTROS[[#This Row],[REGISTRO]],SLDFINAL[SLDFIM])</f>
        <v>0</v>
      </c>
      <c r="E55" s="2">
        <f>SUMIF(producoes[REGISTRO],REGISTROS[[#This Row],[REGISTRO]],producoes[PRODUZIDO])</f>
        <v>0</v>
      </c>
      <c r="F55" s="2">
        <f>SUMIF(VendasPr[REGISTRO],REGISTROS[[#This Row],[REGISTRO]],VendasPr[VENDAS])</f>
        <v>0</v>
      </c>
      <c r="G55" s="2">
        <f>SUMIF(VendasEx[REGISTRO],REGISTROS[[#This Row],[REGISTRO]],VendasEx[VENDAS])</f>
        <v>0</v>
      </c>
      <c r="H55" s="2">
        <f>SUMIF(VENDASUFS[REGISTRO],REGISTROS[[#This Row],[REGISTRO]],VENDASUFS[VENDAS])</f>
        <v>0</v>
      </c>
      <c r="I55" s="3">
        <f>SUMIF(DEVPR[REGISTRO],REGISTROS[[#This Row],[REGISTRO]],DEVPR[VENDAS])</f>
        <v>0</v>
      </c>
      <c r="J55" s="3">
        <f>SUMIF(DEVEX[REGISTRO],REGISTROS[[#This Row],[REGISTRO]],DEVEX[VENDAS])</f>
        <v>0</v>
      </c>
      <c r="K55" s="3">
        <f>SUMIF(devufs[REGISTRO],REGISTROS[[#This Row],[REGISTRO]],devufs[VENDAS])</f>
        <v>0</v>
      </c>
    </row>
    <row r="56" spans="2:11" x14ac:dyDescent="0.25">
      <c r="B56" t="s">
        <v>1114</v>
      </c>
      <c r="C56" s="2">
        <f>SUMIF(SLDINI[REGISTRO],REGISTROS[[#This Row],[REGISTRO]],SLDINI[SLDINI])</f>
        <v>0</v>
      </c>
      <c r="D56" s="2">
        <f>SUMIF(SLDFINAL[REGISTRO],REGISTROS[[#This Row],[REGISTRO]],SLDFINAL[SLDFIM])</f>
        <v>0</v>
      </c>
      <c r="E56" s="2">
        <f>SUMIF(producoes[REGISTRO],REGISTROS[[#This Row],[REGISTRO]],producoes[PRODUZIDO])</f>
        <v>0</v>
      </c>
      <c r="F56" s="2">
        <f>SUMIF(VendasPr[REGISTRO],REGISTROS[[#This Row],[REGISTRO]],VendasPr[VENDAS])</f>
        <v>0</v>
      </c>
      <c r="G56" s="2">
        <f>SUMIF(VendasEx[REGISTRO],REGISTROS[[#This Row],[REGISTRO]],VendasEx[VENDAS])</f>
        <v>0</v>
      </c>
      <c r="H56" s="2">
        <f>SUMIF(VENDASUFS[REGISTRO],REGISTROS[[#This Row],[REGISTRO]],VENDASUFS[VENDAS])</f>
        <v>0</v>
      </c>
      <c r="I56" s="3">
        <f>SUMIF(DEVPR[REGISTRO],REGISTROS[[#This Row],[REGISTRO]],DEVPR[VENDAS])</f>
        <v>0</v>
      </c>
      <c r="J56" s="3">
        <f>SUMIF(DEVEX[REGISTRO],REGISTROS[[#This Row],[REGISTRO]],DEVEX[VENDAS])</f>
        <v>0</v>
      </c>
      <c r="K56" s="3">
        <f>SUMIF(devufs[REGISTRO],REGISTROS[[#This Row],[REGISTRO]],devufs[VENDAS])</f>
        <v>0</v>
      </c>
    </row>
    <row r="57" spans="2:11" x14ac:dyDescent="0.25">
      <c r="B57" t="s">
        <v>306</v>
      </c>
      <c r="C57" s="2">
        <f>SUMIF(SLDINI[REGISTRO],REGISTROS[[#This Row],[REGISTRO]],SLDINI[SLDINI])</f>
        <v>807</v>
      </c>
      <c r="D57" s="2">
        <f>SUMIF(SLDFINAL[REGISTRO],REGISTROS[[#This Row],[REGISTRO]],SLDFINAL[SLDFIM])</f>
        <v>807</v>
      </c>
      <c r="E57" s="2">
        <f>SUMIF(producoes[REGISTRO],REGISTROS[[#This Row],[REGISTRO]],producoes[PRODUZIDO])</f>
        <v>0</v>
      </c>
      <c r="F57" s="2">
        <f>SUMIF(VendasPr[REGISTRO],REGISTROS[[#This Row],[REGISTRO]],VendasPr[VENDAS])</f>
        <v>0</v>
      </c>
      <c r="G57" s="2">
        <f>SUMIF(VendasEx[REGISTRO],REGISTROS[[#This Row],[REGISTRO]],VendasEx[VENDAS])</f>
        <v>0</v>
      </c>
      <c r="H57" s="2">
        <f>SUMIF(VENDASUFS[REGISTRO],REGISTROS[[#This Row],[REGISTRO]],VENDASUFS[VENDAS])</f>
        <v>0</v>
      </c>
      <c r="I57" s="3">
        <f>SUMIF(DEVPR[REGISTRO],REGISTROS[[#This Row],[REGISTRO]],DEVPR[VENDAS])</f>
        <v>0</v>
      </c>
      <c r="J57" s="3">
        <f>SUMIF(DEVEX[REGISTRO],REGISTROS[[#This Row],[REGISTRO]],DEVEX[VENDAS])</f>
        <v>0</v>
      </c>
      <c r="K57" s="3">
        <f>SUMIF(devufs[REGISTRO],REGISTROS[[#This Row],[REGISTRO]],devufs[VENDAS])</f>
        <v>0</v>
      </c>
    </row>
    <row r="58" spans="2:11" x14ac:dyDescent="0.25">
      <c r="B58" t="s">
        <v>786</v>
      </c>
      <c r="C58" s="2">
        <f>SUMIF(SLDINI[REGISTRO],REGISTROS[[#This Row],[REGISTRO]],SLDINI[SLDINI])</f>
        <v>0</v>
      </c>
      <c r="D58" s="2">
        <f>SUMIF(SLDFINAL[REGISTRO],REGISTROS[[#This Row],[REGISTRO]],SLDFINAL[SLDFIM])</f>
        <v>0</v>
      </c>
      <c r="E58" s="2">
        <f>SUMIF(producoes[REGISTRO],REGISTROS[[#This Row],[REGISTRO]],producoes[PRODUZIDO])</f>
        <v>0</v>
      </c>
      <c r="F58" s="2">
        <f>SUMIF(VendasPr[REGISTRO],REGISTROS[[#This Row],[REGISTRO]],VendasPr[VENDAS])</f>
        <v>0</v>
      </c>
      <c r="G58" s="2">
        <f>SUMIF(VendasEx[REGISTRO],REGISTROS[[#This Row],[REGISTRO]],VendasEx[VENDAS])</f>
        <v>0</v>
      </c>
      <c r="H58" s="2">
        <f>SUMIF(VENDASUFS[REGISTRO],REGISTROS[[#This Row],[REGISTRO]],VENDASUFS[VENDAS])</f>
        <v>0</v>
      </c>
      <c r="I58" s="3">
        <f>SUMIF(DEVPR[REGISTRO],REGISTROS[[#This Row],[REGISTRO]],DEVPR[VENDAS])</f>
        <v>0</v>
      </c>
      <c r="J58" s="3">
        <f>SUMIF(DEVEX[REGISTRO],REGISTROS[[#This Row],[REGISTRO]],DEVEX[VENDAS])</f>
        <v>0</v>
      </c>
      <c r="K58" s="3">
        <f>SUMIF(devufs[REGISTRO],REGISTROS[[#This Row],[REGISTRO]],devufs[VENDAS])</f>
        <v>0</v>
      </c>
    </row>
    <row r="59" spans="2:11" x14ac:dyDescent="0.25">
      <c r="B59" t="s">
        <v>275</v>
      </c>
      <c r="C59" s="2">
        <f>SUMIF(SLDINI[REGISTRO],REGISTROS[[#This Row],[REGISTRO]],SLDINI[SLDINI])</f>
        <v>36</v>
      </c>
      <c r="D59" s="2">
        <f>SUMIF(SLDFINAL[REGISTRO],REGISTROS[[#This Row],[REGISTRO]],SLDFINAL[SLDFIM])</f>
        <v>35</v>
      </c>
      <c r="E59" s="2">
        <f>SUMIF(producoes[REGISTRO],REGISTROS[[#This Row],[REGISTRO]],producoes[PRODUZIDO])</f>
        <v>-1</v>
      </c>
      <c r="F59" s="2">
        <f>SUMIF(VendasPr[REGISTRO],REGISTROS[[#This Row],[REGISTRO]],VendasPr[VENDAS])</f>
        <v>0</v>
      </c>
      <c r="G59" s="2">
        <f>SUMIF(VendasEx[REGISTRO],REGISTROS[[#This Row],[REGISTRO]],VendasEx[VENDAS])</f>
        <v>0</v>
      </c>
      <c r="H59" s="2">
        <f>SUMIF(VENDASUFS[REGISTRO],REGISTROS[[#This Row],[REGISTRO]],VENDASUFS[VENDAS])</f>
        <v>0</v>
      </c>
      <c r="I59" s="3">
        <f>SUMIF(DEVPR[REGISTRO],REGISTROS[[#This Row],[REGISTRO]],DEVPR[VENDAS])</f>
        <v>0</v>
      </c>
      <c r="J59" s="3">
        <f>SUMIF(DEVEX[REGISTRO],REGISTROS[[#This Row],[REGISTRO]],DEVEX[VENDAS])</f>
        <v>0</v>
      </c>
      <c r="K59" s="3">
        <f>SUMIF(devufs[REGISTRO],REGISTROS[[#This Row],[REGISTRO]],devufs[VENDAS])</f>
        <v>0</v>
      </c>
    </row>
    <row r="60" spans="2:11" x14ac:dyDescent="0.25">
      <c r="B60" t="s">
        <v>461</v>
      </c>
      <c r="C60" s="2">
        <f>SUMIF(SLDINI[REGISTRO],REGISTROS[[#This Row],[REGISTRO]],SLDINI[SLDINI])</f>
        <v>94</v>
      </c>
      <c r="D60" s="2">
        <f>SUMIF(SLDFINAL[REGISTRO],REGISTROS[[#This Row],[REGISTRO]],SLDFINAL[SLDFIM])</f>
        <v>93</v>
      </c>
      <c r="E60" s="2">
        <f>SUMIF(producoes[REGISTRO],REGISTROS[[#This Row],[REGISTRO]],producoes[PRODUZIDO])</f>
        <v>0</v>
      </c>
      <c r="F60" s="2">
        <f>SUMIF(VendasPr[REGISTRO],REGISTROS[[#This Row],[REGISTRO]],VendasPr[VENDAS])</f>
        <v>1</v>
      </c>
      <c r="G60" s="2">
        <f>SUMIF(VendasEx[REGISTRO],REGISTROS[[#This Row],[REGISTRO]],VendasEx[VENDAS])</f>
        <v>0</v>
      </c>
      <c r="H60" s="2">
        <f>SUMIF(VENDASUFS[REGISTRO],REGISTROS[[#This Row],[REGISTRO]],VENDASUFS[VENDAS])</f>
        <v>0</v>
      </c>
      <c r="I60" s="3">
        <f>SUMIF(DEVPR[REGISTRO],REGISTROS[[#This Row],[REGISTRO]],DEVPR[VENDAS])</f>
        <v>0</v>
      </c>
      <c r="J60" s="3">
        <f>SUMIF(DEVEX[REGISTRO],REGISTROS[[#This Row],[REGISTRO]],DEVEX[VENDAS])</f>
        <v>0</v>
      </c>
      <c r="K60" s="3">
        <f>SUMIF(devufs[REGISTRO],REGISTROS[[#This Row],[REGISTRO]],devufs[VENDAS])</f>
        <v>0</v>
      </c>
    </row>
    <row r="61" spans="2:11" x14ac:dyDescent="0.25">
      <c r="B61" t="s">
        <v>831</v>
      </c>
      <c r="C61" s="2">
        <f>SUMIF(SLDINI[REGISTRO],REGISTROS[[#This Row],[REGISTRO]],SLDINI[SLDINI])</f>
        <v>0</v>
      </c>
      <c r="D61" s="2">
        <f>SUMIF(SLDFINAL[REGISTRO],REGISTROS[[#This Row],[REGISTRO]],SLDFINAL[SLDFIM])</f>
        <v>0</v>
      </c>
      <c r="E61" s="2">
        <f>SUMIF(producoes[REGISTRO],REGISTROS[[#This Row],[REGISTRO]],producoes[PRODUZIDO])</f>
        <v>0</v>
      </c>
      <c r="F61" s="2">
        <f>SUMIF(VendasPr[REGISTRO],REGISTROS[[#This Row],[REGISTRO]],VendasPr[VENDAS])</f>
        <v>0</v>
      </c>
      <c r="G61" s="2">
        <f>SUMIF(VendasEx[REGISTRO],REGISTROS[[#This Row],[REGISTRO]],VendasEx[VENDAS])</f>
        <v>0</v>
      </c>
      <c r="H61" s="2">
        <f>SUMIF(VENDASUFS[REGISTRO],REGISTROS[[#This Row],[REGISTRO]],VENDASUFS[VENDAS])</f>
        <v>0</v>
      </c>
      <c r="I61" s="3">
        <f>SUMIF(DEVPR[REGISTRO],REGISTROS[[#This Row],[REGISTRO]],DEVPR[VENDAS])</f>
        <v>0</v>
      </c>
      <c r="J61" s="3">
        <f>SUMIF(DEVEX[REGISTRO],REGISTROS[[#This Row],[REGISTRO]],DEVEX[VENDAS])</f>
        <v>0</v>
      </c>
      <c r="K61" s="3">
        <f>SUMIF(devufs[REGISTRO],REGISTROS[[#This Row],[REGISTRO]],devufs[VENDAS])</f>
        <v>0</v>
      </c>
    </row>
    <row r="62" spans="2:11" x14ac:dyDescent="0.25">
      <c r="B62" t="s">
        <v>435</v>
      </c>
      <c r="C62" s="2">
        <f>SUMIF(SLDINI[REGISTRO],REGISTROS[[#This Row],[REGISTRO]],SLDINI[SLDINI])</f>
        <v>50</v>
      </c>
      <c r="D62" s="2">
        <f>SUMIF(SLDFINAL[REGISTRO],REGISTROS[[#This Row],[REGISTRO]],SLDFINAL[SLDFIM])</f>
        <v>50</v>
      </c>
      <c r="E62" s="2">
        <f>SUMIF(producoes[REGISTRO],REGISTROS[[#This Row],[REGISTRO]],producoes[PRODUZIDO])</f>
        <v>0</v>
      </c>
      <c r="F62" s="2">
        <f>SUMIF(VendasPr[REGISTRO],REGISTROS[[#This Row],[REGISTRO]],VendasPr[VENDAS])</f>
        <v>0</v>
      </c>
      <c r="G62" s="2">
        <f>SUMIF(VendasEx[REGISTRO],REGISTROS[[#This Row],[REGISTRO]],VendasEx[VENDAS])</f>
        <v>0</v>
      </c>
      <c r="H62" s="2">
        <f>SUMIF(VENDASUFS[REGISTRO],REGISTROS[[#This Row],[REGISTRO]],VENDASUFS[VENDAS])</f>
        <v>0</v>
      </c>
      <c r="I62" s="3">
        <f>SUMIF(DEVPR[REGISTRO],REGISTROS[[#This Row],[REGISTRO]],DEVPR[VENDAS])</f>
        <v>0</v>
      </c>
      <c r="J62" s="3">
        <f>SUMIF(DEVEX[REGISTRO],REGISTROS[[#This Row],[REGISTRO]],DEVEX[VENDAS])</f>
        <v>0</v>
      </c>
      <c r="K62" s="3">
        <f>SUMIF(devufs[REGISTRO],REGISTROS[[#This Row],[REGISTRO]],devufs[VENDAS])</f>
        <v>0</v>
      </c>
    </row>
    <row r="63" spans="2:11" x14ac:dyDescent="0.25">
      <c r="B63" t="s">
        <v>887</v>
      </c>
      <c r="C63" s="2">
        <f>SUMIF(SLDINI[REGISTRO],REGISTROS[[#This Row],[REGISTRO]],SLDINI[SLDINI])</f>
        <v>0</v>
      </c>
      <c r="D63" s="2">
        <f>SUMIF(SLDFINAL[REGISTRO],REGISTROS[[#This Row],[REGISTRO]],SLDFINAL[SLDFIM])</f>
        <v>0</v>
      </c>
      <c r="E63" s="2">
        <f>SUMIF(producoes[REGISTRO],REGISTROS[[#This Row],[REGISTRO]],producoes[PRODUZIDO])</f>
        <v>0</v>
      </c>
      <c r="F63" s="2">
        <f>SUMIF(VendasPr[REGISTRO],REGISTROS[[#This Row],[REGISTRO]],VendasPr[VENDAS])</f>
        <v>0</v>
      </c>
      <c r="G63" s="2">
        <f>SUMIF(VendasEx[REGISTRO],REGISTROS[[#This Row],[REGISTRO]],VendasEx[VENDAS])</f>
        <v>0</v>
      </c>
      <c r="H63" s="2">
        <f>SUMIF(VENDASUFS[REGISTRO],REGISTROS[[#This Row],[REGISTRO]],VENDASUFS[VENDAS])</f>
        <v>0</v>
      </c>
      <c r="I63" s="3">
        <f>SUMIF(DEVPR[REGISTRO],REGISTROS[[#This Row],[REGISTRO]],DEVPR[VENDAS])</f>
        <v>0</v>
      </c>
      <c r="J63" s="3">
        <f>SUMIF(DEVEX[REGISTRO],REGISTROS[[#This Row],[REGISTRO]],DEVEX[VENDAS])</f>
        <v>0</v>
      </c>
      <c r="K63" s="3">
        <f>SUMIF(devufs[REGISTRO],REGISTROS[[#This Row],[REGISTRO]],devufs[VENDAS])</f>
        <v>0</v>
      </c>
    </row>
    <row r="64" spans="2:11" x14ac:dyDescent="0.25">
      <c r="B64" t="s">
        <v>131</v>
      </c>
      <c r="C64" s="2">
        <f>SUMIF(SLDINI[REGISTRO],REGISTROS[[#This Row],[REGISTRO]],SLDINI[SLDINI])</f>
        <v>515</v>
      </c>
      <c r="D64" s="2">
        <f>SUMIF(SLDFINAL[REGISTRO],REGISTROS[[#This Row],[REGISTRO]],SLDFINAL[SLDFIM])</f>
        <v>80</v>
      </c>
      <c r="E64" s="2">
        <f>SUMIF(producoes[REGISTRO],REGISTROS[[#This Row],[REGISTRO]],producoes[PRODUZIDO])</f>
        <v>-5</v>
      </c>
      <c r="F64" s="2">
        <f>SUMIF(VendasPr[REGISTRO],REGISTROS[[#This Row],[REGISTRO]],VendasPr[VENDAS])</f>
        <v>130</v>
      </c>
      <c r="G64" s="2">
        <f>SUMIF(VendasEx[REGISTRO],REGISTROS[[#This Row],[REGISTRO]],VendasEx[VENDAS])</f>
        <v>0</v>
      </c>
      <c r="H64" s="2">
        <f>SUMIF(VENDASUFS[REGISTRO],REGISTROS[[#This Row],[REGISTRO]],VENDASUFS[VENDAS])</f>
        <v>300</v>
      </c>
      <c r="I64" s="3">
        <f>SUMIF(DEVPR[REGISTRO],REGISTROS[[#This Row],[REGISTRO]],DEVPR[VENDAS])</f>
        <v>0</v>
      </c>
      <c r="J64" s="3">
        <f>SUMIF(DEVEX[REGISTRO],REGISTROS[[#This Row],[REGISTRO]],DEVEX[VENDAS])</f>
        <v>0</v>
      </c>
      <c r="K64" s="3">
        <f>SUMIF(devufs[REGISTRO],REGISTROS[[#This Row],[REGISTRO]],devufs[VENDAS])</f>
        <v>0</v>
      </c>
    </row>
    <row r="65" spans="2:11" x14ac:dyDescent="0.25">
      <c r="B65" t="s">
        <v>1129</v>
      </c>
      <c r="C65" s="2">
        <f>SUMIF(SLDINI[REGISTRO],REGISTROS[[#This Row],[REGISTRO]],SLDINI[SLDINI])</f>
        <v>559</v>
      </c>
      <c r="D65" s="2">
        <f>SUMIF(SLDFINAL[REGISTRO],REGISTROS[[#This Row],[REGISTRO]],SLDFINAL[SLDFIM])</f>
        <v>559</v>
      </c>
      <c r="E65" s="2">
        <f>SUMIF(producoes[REGISTRO],REGISTROS[[#This Row],[REGISTRO]],producoes[PRODUZIDO])</f>
        <v>0</v>
      </c>
      <c r="F65" s="2">
        <f>SUMIF(VendasPr[REGISTRO],REGISTROS[[#This Row],[REGISTRO]],VendasPr[VENDAS])</f>
        <v>0</v>
      </c>
      <c r="G65" s="2">
        <f>SUMIF(VendasEx[REGISTRO],REGISTROS[[#This Row],[REGISTRO]],VendasEx[VENDAS])</f>
        <v>0</v>
      </c>
      <c r="H65" s="2">
        <f>SUMIF(VENDASUFS[REGISTRO],REGISTROS[[#This Row],[REGISTRO]],VENDASUFS[VENDAS])</f>
        <v>0</v>
      </c>
      <c r="I65" s="3">
        <f>SUMIF(DEVPR[REGISTRO],REGISTROS[[#This Row],[REGISTRO]],DEVPR[VENDAS])</f>
        <v>0</v>
      </c>
      <c r="J65" s="3">
        <f>SUMIF(DEVEX[REGISTRO],REGISTROS[[#This Row],[REGISTRO]],DEVEX[VENDAS])</f>
        <v>0</v>
      </c>
      <c r="K65" s="3">
        <f>SUMIF(devufs[REGISTRO],REGISTROS[[#This Row],[REGISTRO]],devufs[VENDAS])</f>
        <v>0</v>
      </c>
    </row>
    <row r="66" spans="2:11" x14ac:dyDescent="0.25">
      <c r="B66" t="s">
        <v>28</v>
      </c>
      <c r="C66" s="2">
        <f>SUMIF(SLDINI[REGISTRO],REGISTROS[[#This Row],[REGISTRO]],SLDINI[SLDINI])</f>
        <v>9955</v>
      </c>
      <c r="D66" s="2">
        <f>SUMIF(SLDFINAL[REGISTRO],REGISTROS[[#This Row],[REGISTRO]],SLDFINAL[SLDFIM])</f>
        <v>1000</v>
      </c>
      <c r="E66" s="2">
        <f>SUMIF(producoes[REGISTRO],REGISTROS[[#This Row],[REGISTRO]],producoes[PRODUZIDO])</f>
        <v>0</v>
      </c>
      <c r="F66" s="2">
        <f>SUMIF(VendasPr[REGISTRO],REGISTROS[[#This Row],[REGISTRO]],VendasPr[VENDAS])</f>
        <v>0</v>
      </c>
      <c r="G66" s="2">
        <f>SUMIF(VendasEx[REGISTRO],REGISTROS[[#This Row],[REGISTRO]],VendasEx[VENDAS])</f>
        <v>0</v>
      </c>
      <c r="H66" s="2">
        <f>SUMIF(VENDASUFS[REGISTRO],REGISTROS[[#This Row],[REGISTRO]],VENDASUFS[VENDAS])</f>
        <v>9315</v>
      </c>
      <c r="I66" s="3">
        <f>SUMIF(DEVPR[REGISTRO],REGISTROS[[#This Row],[REGISTRO]],DEVPR[VENDAS])</f>
        <v>0</v>
      </c>
      <c r="J66" s="3">
        <f>SUMIF(DEVEX[REGISTRO],REGISTROS[[#This Row],[REGISTRO]],DEVEX[VENDAS])</f>
        <v>0</v>
      </c>
      <c r="K66" s="3">
        <f>SUMIF(devufs[REGISTRO],REGISTROS[[#This Row],[REGISTRO]],devufs[VENDAS])</f>
        <v>360</v>
      </c>
    </row>
    <row r="67" spans="2:11" x14ac:dyDescent="0.25">
      <c r="B67" t="s">
        <v>1249</v>
      </c>
      <c r="C67" s="2">
        <f>SUMIF(SLDINI[REGISTRO],REGISTROS[[#This Row],[REGISTRO]],SLDINI[SLDINI])</f>
        <v>0</v>
      </c>
      <c r="D67" s="2">
        <f>SUMIF(SLDFINAL[REGISTRO],REGISTROS[[#This Row],[REGISTRO]],SLDFINAL[SLDFIM])</f>
        <v>0</v>
      </c>
      <c r="E67" s="2">
        <f>SUMIF(producoes[REGISTRO],REGISTROS[[#This Row],[REGISTRO]],producoes[PRODUZIDO])</f>
        <v>0</v>
      </c>
      <c r="F67" s="2">
        <f>SUMIF(VendasPr[REGISTRO],REGISTROS[[#This Row],[REGISTRO]],VendasPr[VENDAS])</f>
        <v>0</v>
      </c>
      <c r="G67" s="2">
        <f>SUMIF(VendasEx[REGISTRO],REGISTROS[[#This Row],[REGISTRO]],VendasEx[VENDAS])</f>
        <v>0</v>
      </c>
      <c r="H67" s="2">
        <f>SUMIF(VENDASUFS[REGISTRO],REGISTROS[[#This Row],[REGISTRO]],VENDASUFS[VENDAS])</f>
        <v>0</v>
      </c>
      <c r="I67" s="3">
        <f>SUMIF(DEVPR[REGISTRO],REGISTROS[[#This Row],[REGISTRO]],DEVPR[VENDAS])</f>
        <v>0</v>
      </c>
      <c r="J67" s="3">
        <f>SUMIF(DEVEX[REGISTRO],REGISTROS[[#This Row],[REGISTRO]],DEVEX[VENDAS])</f>
        <v>0</v>
      </c>
      <c r="K67" s="3">
        <f>SUMIF(devufs[REGISTRO],REGISTROS[[#This Row],[REGISTRO]],devufs[VENDAS])</f>
        <v>0</v>
      </c>
    </row>
    <row r="68" spans="2:11" x14ac:dyDescent="0.25">
      <c r="B68" t="s">
        <v>37</v>
      </c>
      <c r="C68" s="2">
        <f>SUMIF(SLDINI[REGISTRO],REGISTROS[[#This Row],[REGISTRO]],SLDINI[SLDINI])</f>
        <v>0</v>
      </c>
      <c r="D68" s="2">
        <f>SUMIF(SLDFINAL[REGISTRO],REGISTROS[[#This Row],[REGISTRO]],SLDFINAL[SLDFIM])</f>
        <v>0</v>
      </c>
      <c r="E68" s="2">
        <f>SUMIF(producoes[REGISTRO],REGISTROS[[#This Row],[REGISTRO]],producoes[PRODUZIDO])</f>
        <v>0</v>
      </c>
      <c r="F68" s="2">
        <f>SUMIF(VendasPr[REGISTRO],REGISTROS[[#This Row],[REGISTRO]],VendasPr[VENDAS])</f>
        <v>0</v>
      </c>
      <c r="G68" s="2">
        <f>SUMIF(VendasEx[REGISTRO],REGISTROS[[#This Row],[REGISTRO]],VendasEx[VENDAS])</f>
        <v>0</v>
      </c>
      <c r="H68" s="2">
        <f>SUMIF(VENDASUFS[REGISTRO],REGISTROS[[#This Row],[REGISTRO]],VENDASUFS[VENDAS])</f>
        <v>0</v>
      </c>
      <c r="I68" s="3">
        <f>SUMIF(DEVPR[REGISTRO],REGISTROS[[#This Row],[REGISTRO]],DEVPR[VENDAS])</f>
        <v>0</v>
      </c>
      <c r="J68" s="3">
        <f>SUMIF(DEVEX[REGISTRO],REGISTROS[[#This Row],[REGISTRO]],DEVEX[VENDAS])</f>
        <v>0</v>
      </c>
      <c r="K68" s="3">
        <f>SUMIF(devufs[REGISTRO],REGISTROS[[#This Row],[REGISTRO]],devufs[VENDAS])</f>
        <v>0</v>
      </c>
    </row>
    <row r="69" spans="2:11" x14ac:dyDescent="0.25">
      <c r="B69" t="s">
        <v>773</v>
      </c>
      <c r="C69" s="2">
        <f>SUMIF(SLDINI[REGISTRO],REGISTROS[[#This Row],[REGISTRO]],SLDINI[SLDINI])</f>
        <v>0</v>
      </c>
      <c r="D69" s="2">
        <f>SUMIF(SLDFINAL[REGISTRO],REGISTROS[[#This Row],[REGISTRO]],SLDFINAL[SLDFIM])</f>
        <v>0</v>
      </c>
      <c r="E69" s="2">
        <f>SUMIF(producoes[REGISTRO],REGISTROS[[#This Row],[REGISTRO]],producoes[PRODUZIDO])</f>
        <v>0</v>
      </c>
      <c r="F69" s="2">
        <f>SUMIF(VendasPr[REGISTRO],REGISTROS[[#This Row],[REGISTRO]],VendasPr[VENDAS])</f>
        <v>0</v>
      </c>
      <c r="G69" s="2">
        <f>SUMIF(VendasEx[REGISTRO],REGISTROS[[#This Row],[REGISTRO]],VendasEx[VENDAS])</f>
        <v>0</v>
      </c>
      <c r="H69" s="2">
        <f>SUMIF(VENDASUFS[REGISTRO],REGISTROS[[#This Row],[REGISTRO]],VENDASUFS[VENDAS])</f>
        <v>0</v>
      </c>
      <c r="I69" s="3">
        <f>SUMIF(DEVPR[REGISTRO],REGISTROS[[#This Row],[REGISTRO]],DEVPR[VENDAS])</f>
        <v>0</v>
      </c>
      <c r="J69" s="3">
        <f>SUMIF(DEVEX[REGISTRO],REGISTROS[[#This Row],[REGISTRO]],DEVEX[VENDAS])</f>
        <v>0</v>
      </c>
      <c r="K69" s="3">
        <f>SUMIF(devufs[REGISTRO],REGISTROS[[#This Row],[REGISTRO]],devufs[VENDAS])</f>
        <v>0</v>
      </c>
    </row>
    <row r="70" spans="2:11" x14ac:dyDescent="0.25">
      <c r="B70" t="s">
        <v>1463</v>
      </c>
      <c r="C70" s="2">
        <f>SUMIF(SLDINI[REGISTRO],REGISTROS[[#This Row],[REGISTRO]],SLDINI[SLDINI])</f>
        <v>0</v>
      </c>
      <c r="D70" s="2">
        <f>SUMIF(SLDFINAL[REGISTRO],REGISTROS[[#This Row],[REGISTRO]],SLDFINAL[SLDFIM])</f>
        <v>0</v>
      </c>
      <c r="E70" s="2">
        <f>SUMIF(producoes[REGISTRO],REGISTROS[[#This Row],[REGISTRO]],producoes[PRODUZIDO])</f>
        <v>0</v>
      </c>
      <c r="F70" s="2">
        <f>SUMIF(VendasPr[REGISTRO],REGISTROS[[#This Row],[REGISTRO]],VendasPr[VENDAS])</f>
        <v>0</v>
      </c>
      <c r="G70" s="2">
        <f>SUMIF(VendasEx[REGISTRO],REGISTROS[[#This Row],[REGISTRO]],VendasEx[VENDAS])</f>
        <v>0</v>
      </c>
      <c r="H70" s="2">
        <f>SUMIF(VENDASUFS[REGISTRO],REGISTROS[[#This Row],[REGISTRO]],VENDASUFS[VENDAS])</f>
        <v>0</v>
      </c>
      <c r="I70" s="3">
        <f>SUMIF(DEVPR[REGISTRO],REGISTROS[[#This Row],[REGISTRO]],DEVPR[VENDAS])</f>
        <v>0</v>
      </c>
      <c r="J70" s="3">
        <f>SUMIF(DEVEX[REGISTRO],REGISTROS[[#This Row],[REGISTRO]],DEVEX[VENDAS])</f>
        <v>0</v>
      </c>
      <c r="K70" s="3">
        <f>SUMIF(devufs[REGISTRO],REGISTROS[[#This Row],[REGISTRO]],devufs[VENDAS])</f>
        <v>0</v>
      </c>
    </row>
    <row r="71" spans="2:11" x14ac:dyDescent="0.25">
      <c r="B71" t="s">
        <v>546</v>
      </c>
      <c r="C71" s="2">
        <f>SUMIF(SLDINI[REGISTRO],REGISTROS[[#This Row],[REGISTRO]],SLDINI[SLDINI])</f>
        <v>1286</v>
      </c>
      <c r="D71" s="2">
        <f>SUMIF(SLDFINAL[REGISTRO],REGISTROS[[#This Row],[REGISTRO]],SLDFINAL[SLDFIM])</f>
        <v>974</v>
      </c>
      <c r="E71" s="2">
        <f>SUMIF(producoes[REGISTRO],REGISTROS[[#This Row],[REGISTRO]],producoes[PRODUZIDO])</f>
        <v>0</v>
      </c>
      <c r="F71" s="2">
        <f>SUMIF(VendasPr[REGISTRO],REGISTROS[[#This Row],[REGISTRO]],VendasPr[VENDAS])</f>
        <v>12</v>
      </c>
      <c r="G71" s="2">
        <f>SUMIF(VendasEx[REGISTRO],REGISTROS[[#This Row],[REGISTRO]],VendasEx[VENDAS])</f>
        <v>0</v>
      </c>
      <c r="H71" s="2">
        <f>SUMIF(VENDASUFS[REGISTRO],REGISTROS[[#This Row],[REGISTRO]],VENDASUFS[VENDAS])</f>
        <v>300</v>
      </c>
      <c r="I71" s="3">
        <f>SUMIF(DEVPR[REGISTRO],REGISTROS[[#This Row],[REGISTRO]],DEVPR[VENDAS])</f>
        <v>0</v>
      </c>
      <c r="J71" s="3">
        <f>SUMIF(DEVEX[REGISTRO],REGISTROS[[#This Row],[REGISTRO]],DEVEX[VENDAS])</f>
        <v>0</v>
      </c>
      <c r="K71" s="3">
        <f>SUMIF(devufs[REGISTRO],REGISTROS[[#This Row],[REGISTRO]],devufs[VENDAS])</f>
        <v>0</v>
      </c>
    </row>
    <row r="72" spans="2:11" x14ac:dyDescent="0.25">
      <c r="B72" t="s">
        <v>1452</v>
      </c>
      <c r="C72" s="2">
        <f>SUMIF(SLDINI[REGISTRO],REGISTROS[[#This Row],[REGISTRO]],SLDINI[SLDINI])</f>
        <v>0</v>
      </c>
      <c r="D72" s="2">
        <f>SUMIF(SLDFINAL[REGISTRO],REGISTROS[[#This Row],[REGISTRO]],SLDFINAL[SLDFIM])</f>
        <v>0</v>
      </c>
      <c r="E72" s="2">
        <f>SUMIF(producoes[REGISTRO],REGISTROS[[#This Row],[REGISTRO]],producoes[PRODUZIDO])</f>
        <v>0</v>
      </c>
      <c r="F72" s="2">
        <f>SUMIF(VendasPr[REGISTRO],REGISTROS[[#This Row],[REGISTRO]],VendasPr[VENDAS])</f>
        <v>0</v>
      </c>
      <c r="G72" s="2">
        <f>SUMIF(VendasEx[REGISTRO],REGISTROS[[#This Row],[REGISTRO]],VendasEx[VENDAS])</f>
        <v>0</v>
      </c>
      <c r="H72" s="2">
        <f>SUMIF(VENDASUFS[REGISTRO],REGISTROS[[#This Row],[REGISTRO]],VENDASUFS[VENDAS])</f>
        <v>0</v>
      </c>
      <c r="I72" s="3">
        <f>SUMIF(DEVPR[REGISTRO],REGISTROS[[#This Row],[REGISTRO]],DEVPR[VENDAS])</f>
        <v>0</v>
      </c>
      <c r="J72" s="3">
        <f>SUMIF(DEVEX[REGISTRO],REGISTROS[[#This Row],[REGISTRO]],DEVEX[VENDAS])</f>
        <v>0</v>
      </c>
      <c r="K72" s="3">
        <f>SUMIF(devufs[REGISTRO],REGISTROS[[#This Row],[REGISTRO]],devufs[VENDAS])</f>
        <v>0</v>
      </c>
    </row>
    <row r="73" spans="2:11" x14ac:dyDescent="0.25">
      <c r="B73" t="s">
        <v>313</v>
      </c>
      <c r="C73" s="2">
        <f>SUMIF(SLDINI[REGISTRO],REGISTROS[[#This Row],[REGISTRO]],SLDINI[SLDINI])</f>
        <v>0</v>
      </c>
      <c r="D73" s="2">
        <f>SUMIF(SLDFINAL[REGISTRO],REGISTROS[[#This Row],[REGISTRO]],SLDFINAL[SLDFIM])</f>
        <v>0</v>
      </c>
      <c r="E73" s="2">
        <f>SUMIF(producoes[REGISTRO],REGISTROS[[#This Row],[REGISTRO]],producoes[PRODUZIDO])</f>
        <v>0</v>
      </c>
      <c r="F73" s="2">
        <f>SUMIF(VendasPr[REGISTRO],REGISTROS[[#This Row],[REGISTRO]],VendasPr[VENDAS])</f>
        <v>0</v>
      </c>
      <c r="G73" s="2">
        <f>SUMIF(VendasEx[REGISTRO],REGISTROS[[#This Row],[REGISTRO]],VendasEx[VENDAS])</f>
        <v>0</v>
      </c>
      <c r="H73" s="2">
        <f>SUMIF(VENDASUFS[REGISTRO],REGISTROS[[#This Row],[REGISTRO]],VENDASUFS[VENDAS])</f>
        <v>0</v>
      </c>
      <c r="I73" s="3">
        <f>SUMIF(DEVPR[REGISTRO],REGISTROS[[#This Row],[REGISTRO]],DEVPR[VENDAS])</f>
        <v>0</v>
      </c>
      <c r="J73" s="3">
        <f>SUMIF(DEVEX[REGISTRO],REGISTROS[[#This Row],[REGISTRO]],DEVEX[VENDAS])</f>
        <v>0</v>
      </c>
      <c r="K73" s="3">
        <f>SUMIF(devufs[REGISTRO],REGISTROS[[#This Row],[REGISTRO]],devufs[VENDAS])</f>
        <v>0</v>
      </c>
    </row>
    <row r="74" spans="2:11" x14ac:dyDescent="0.25">
      <c r="B74" t="s">
        <v>1284</v>
      </c>
      <c r="C74" s="2">
        <f>SUMIF(SLDINI[REGISTRO],REGISTROS[[#This Row],[REGISTRO]],SLDINI[SLDINI])</f>
        <v>0</v>
      </c>
      <c r="D74" s="2">
        <f>SUMIF(SLDFINAL[REGISTRO],REGISTROS[[#This Row],[REGISTRO]],SLDFINAL[SLDFIM])</f>
        <v>0</v>
      </c>
      <c r="E74" s="2">
        <f>SUMIF(producoes[REGISTRO],REGISTROS[[#This Row],[REGISTRO]],producoes[PRODUZIDO])</f>
        <v>0</v>
      </c>
      <c r="F74" s="2">
        <f>SUMIF(VendasPr[REGISTRO],REGISTROS[[#This Row],[REGISTRO]],VendasPr[VENDAS])</f>
        <v>0</v>
      </c>
      <c r="G74" s="2">
        <f>SUMIF(VendasEx[REGISTRO],REGISTROS[[#This Row],[REGISTRO]],VendasEx[VENDAS])</f>
        <v>0</v>
      </c>
      <c r="H74" s="2">
        <f>SUMIF(VENDASUFS[REGISTRO],REGISTROS[[#This Row],[REGISTRO]],VENDASUFS[VENDAS])</f>
        <v>0</v>
      </c>
      <c r="I74" s="3">
        <f>SUMIF(DEVPR[REGISTRO],REGISTROS[[#This Row],[REGISTRO]],DEVPR[VENDAS])</f>
        <v>0</v>
      </c>
      <c r="J74" s="3">
        <f>SUMIF(DEVEX[REGISTRO],REGISTROS[[#This Row],[REGISTRO]],DEVEX[VENDAS])</f>
        <v>0</v>
      </c>
      <c r="K74" s="3">
        <f>SUMIF(devufs[REGISTRO],REGISTROS[[#This Row],[REGISTRO]],devufs[VENDAS])</f>
        <v>0</v>
      </c>
    </row>
    <row r="75" spans="2:11" x14ac:dyDescent="0.25">
      <c r="B75" t="s">
        <v>1147</v>
      </c>
      <c r="C75" s="2">
        <f>SUMIF(SLDINI[REGISTRO],REGISTROS[[#This Row],[REGISTRO]],SLDINI[SLDINI])</f>
        <v>0</v>
      </c>
      <c r="D75" s="2">
        <f>SUMIF(SLDFINAL[REGISTRO],REGISTROS[[#This Row],[REGISTRO]],SLDFINAL[SLDFIM])</f>
        <v>0</v>
      </c>
      <c r="E75" s="2">
        <f>SUMIF(producoes[REGISTRO],REGISTROS[[#This Row],[REGISTRO]],producoes[PRODUZIDO])</f>
        <v>0</v>
      </c>
      <c r="F75" s="2">
        <f>SUMIF(VendasPr[REGISTRO],REGISTROS[[#This Row],[REGISTRO]],VendasPr[VENDAS])</f>
        <v>0</v>
      </c>
      <c r="G75" s="2">
        <f>SUMIF(VendasEx[REGISTRO],REGISTROS[[#This Row],[REGISTRO]],VendasEx[VENDAS])</f>
        <v>0</v>
      </c>
      <c r="H75" s="2">
        <f>SUMIF(VENDASUFS[REGISTRO],REGISTROS[[#This Row],[REGISTRO]],VENDASUFS[VENDAS])</f>
        <v>0</v>
      </c>
      <c r="I75" s="3">
        <f>SUMIF(DEVPR[REGISTRO],REGISTROS[[#This Row],[REGISTRO]],DEVPR[VENDAS])</f>
        <v>0</v>
      </c>
      <c r="J75" s="3">
        <f>SUMIF(DEVEX[REGISTRO],REGISTROS[[#This Row],[REGISTRO]],DEVEX[VENDAS])</f>
        <v>0</v>
      </c>
      <c r="K75" s="3">
        <f>SUMIF(devufs[REGISTRO],REGISTROS[[#This Row],[REGISTRO]],devufs[VENDAS])</f>
        <v>0</v>
      </c>
    </row>
    <row r="76" spans="2:11" x14ac:dyDescent="0.25">
      <c r="B76" t="s">
        <v>1144</v>
      </c>
      <c r="C76" s="2">
        <f>SUMIF(SLDINI[REGISTRO],REGISTROS[[#This Row],[REGISTRO]],SLDINI[SLDINI])</f>
        <v>0</v>
      </c>
      <c r="D76" s="2">
        <f>SUMIF(SLDFINAL[REGISTRO],REGISTROS[[#This Row],[REGISTRO]],SLDFINAL[SLDFIM])</f>
        <v>0</v>
      </c>
      <c r="E76" s="2">
        <f>SUMIF(producoes[REGISTRO],REGISTROS[[#This Row],[REGISTRO]],producoes[PRODUZIDO])</f>
        <v>0</v>
      </c>
      <c r="F76" s="2">
        <f>SUMIF(VendasPr[REGISTRO],REGISTROS[[#This Row],[REGISTRO]],VendasPr[VENDAS])</f>
        <v>0</v>
      </c>
      <c r="G76" s="2">
        <f>SUMIF(VendasEx[REGISTRO],REGISTROS[[#This Row],[REGISTRO]],VendasEx[VENDAS])</f>
        <v>0</v>
      </c>
      <c r="H76" s="2">
        <f>SUMIF(VENDASUFS[REGISTRO],REGISTROS[[#This Row],[REGISTRO]],VENDASUFS[VENDAS])</f>
        <v>0</v>
      </c>
      <c r="I76" s="3">
        <f>SUMIF(DEVPR[REGISTRO],REGISTROS[[#This Row],[REGISTRO]],DEVPR[VENDAS])</f>
        <v>0</v>
      </c>
      <c r="J76" s="3">
        <f>SUMIF(DEVEX[REGISTRO],REGISTROS[[#This Row],[REGISTRO]],DEVEX[VENDAS])</f>
        <v>0</v>
      </c>
      <c r="K76" s="3">
        <f>SUMIF(devufs[REGISTRO],REGISTROS[[#This Row],[REGISTRO]],devufs[VENDAS])</f>
        <v>0</v>
      </c>
    </row>
    <row r="77" spans="2:11" x14ac:dyDescent="0.25">
      <c r="B77" t="s">
        <v>106</v>
      </c>
      <c r="C77" s="2">
        <f>SUMIF(SLDINI[REGISTRO],REGISTROS[[#This Row],[REGISTRO]],SLDINI[SLDINI])</f>
        <v>914</v>
      </c>
      <c r="D77" s="2">
        <f>SUMIF(SLDFINAL[REGISTRO],REGISTROS[[#This Row],[REGISTRO]],SLDFINAL[SLDFIM])</f>
        <v>914</v>
      </c>
      <c r="E77" s="2">
        <f>SUMIF(producoes[REGISTRO],REGISTROS[[#This Row],[REGISTRO]],producoes[PRODUZIDO])</f>
        <v>0</v>
      </c>
      <c r="F77" s="2">
        <f>SUMIF(VendasPr[REGISTRO],REGISTROS[[#This Row],[REGISTRO]],VendasPr[VENDAS])</f>
        <v>0</v>
      </c>
      <c r="G77" s="2">
        <f>SUMIF(VendasEx[REGISTRO],REGISTROS[[#This Row],[REGISTRO]],VendasEx[VENDAS])</f>
        <v>0</v>
      </c>
      <c r="H77" s="2">
        <f>SUMIF(VENDASUFS[REGISTRO],REGISTROS[[#This Row],[REGISTRO]],VENDASUFS[VENDAS])</f>
        <v>0</v>
      </c>
      <c r="I77" s="3">
        <f>SUMIF(DEVPR[REGISTRO],REGISTROS[[#This Row],[REGISTRO]],DEVPR[VENDAS])</f>
        <v>0</v>
      </c>
      <c r="J77" s="3">
        <f>SUMIF(DEVEX[REGISTRO],REGISTROS[[#This Row],[REGISTRO]],DEVEX[VENDAS])</f>
        <v>0</v>
      </c>
      <c r="K77" s="3">
        <f>SUMIF(devufs[REGISTRO],REGISTROS[[#This Row],[REGISTRO]],devufs[VENDAS])</f>
        <v>0</v>
      </c>
    </row>
    <row r="78" spans="2:11" x14ac:dyDescent="0.25">
      <c r="B78" t="s">
        <v>109</v>
      </c>
      <c r="C78" s="2">
        <f>SUMIF(SLDINI[REGISTRO],REGISTROS[[#This Row],[REGISTRO]],SLDINI[SLDINI])</f>
        <v>1460</v>
      </c>
      <c r="D78" s="2">
        <f>SUMIF(SLDFINAL[REGISTRO],REGISTROS[[#This Row],[REGISTRO]],SLDFINAL[SLDFIM])</f>
        <v>960</v>
      </c>
      <c r="E78" s="2">
        <f>SUMIF(producoes[REGISTRO],REGISTROS[[#This Row],[REGISTRO]],producoes[PRODUZIDO])</f>
        <v>0</v>
      </c>
      <c r="F78" s="2">
        <f>SUMIF(VendasPr[REGISTRO],REGISTROS[[#This Row],[REGISTRO]],VendasPr[VENDAS])</f>
        <v>0</v>
      </c>
      <c r="G78" s="2">
        <f>SUMIF(VendasEx[REGISTRO],REGISTROS[[#This Row],[REGISTRO]],VendasEx[VENDAS])</f>
        <v>0</v>
      </c>
      <c r="H78" s="2">
        <f>SUMIF(VENDASUFS[REGISTRO],REGISTROS[[#This Row],[REGISTRO]],VENDASUFS[VENDAS])</f>
        <v>500</v>
      </c>
      <c r="I78" s="3">
        <f>SUMIF(DEVPR[REGISTRO],REGISTROS[[#This Row],[REGISTRO]],DEVPR[VENDAS])</f>
        <v>0</v>
      </c>
      <c r="J78" s="3">
        <f>SUMIF(DEVEX[REGISTRO],REGISTROS[[#This Row],[REGISTRO]],DEVEX[VENDAS])</f>
        <v>0</v>
      </c>
      <c r="K78" s="3">
        <f>SUMIF(devufs[REGISTRO],REGISTROS[[#This Row],[REGISTRO]],devufs[VENDAS])</f>
        <v>0</v>
      </c>
    </row>
    <row r="79" spans="2:11" x14ac:dyDescent="0.25">
      <c r="B79" t="s">
        <v>551</v>
      </c>
      <c r="C79" s="2">
        <f>SUMIF(SLDINI[REGISTRO],REGISTROS[[#This Row],[REGISTRO]],SLDINI[SLDINI])</f>
        <v>7050</v>
      </c>
      <c r="D79" s="2">
        <f>SUMIF(SLDFINAL[REGISTRO],REGISTROS[[#This Row],[REGISTRO]],SLDFINAL[SLDFIM])</f>
        <v>4149</v>
      </c>
      <c r="E79" s="2">
        <f>SUMIF(producoes[REGISTRO],REGISTROS[[#This Row],[REGISTRO]],producoes[PRODUZIDO])</f>
        <v>-21</v>
      </c>
      <c r="F79" s="2">
        <f>SUMIF(VendasPr[REGISTRO],REGISTROS[[#This Row],[REGISTRO]],VendasPr[VENDAS])</f>
        <v>0</v>
      </c>
      <c r="G79" s="2">
        <f>SUMIF(VendasEx[REGISTRO],REGISTROS[[#This Row],[REGISTRO]],VendasEx[VENDAS])</f>
        <v>0</v>
      </c>
      <c r="H79" s="2">
        <f>SUMIF(VENDASUFS[REGISTRO],REGISTROS[[#This Row],[REGISTRO]],VENDASUFS[VENDAS])</f>
        <v>2980</v>
      </c>
      <c r="I79" s="3">
        <f>SUMIF(DEVPR[REGISTRO],REGISTROS[[#This Row],[REGISTRO]],DEVPR[VENDAS])</f>
        <v>0</v>
      </c>
      <c r="J79" s="3">
        <f>SUMIF(DEVEX[REGISTRO],REGISTROS[[#This Row],[REGISTRO]],DEVEX[VENDAS])</f>
        <v>0</v>
      </c>
      <c r="K79" s="3">
        <f>SUMIF(devufs[REGISTRO],REGISTROS[[#This Row],[REGISTRO]],devufs[VENDAS])</f>
        <v>100</v>
      </c>
    </row>
    <row r="80" spans="2:11" x14ac:dyDescent="0.25">
      <c r="B80" t="s">
        <v>272</v>
      </c>
      <c r="C80" s="2">
        <f>SUMIF(SLDINI[REGISTRO],REGISTROS[[#This Row],[REGISTRO]],SLDINI[SLDINI])</f>
        <v>217</v>
      </c>
      <c r="D80" s="2">
        <f>SUMIF(SLDFINAL[REGISTRO],REGISTROS[[#This Row],[REGISTRO]],SLDFINAL[SLDFIM])</f>
        <v>1114</v>
      </c>
      <c r="E80" s="2">
        <f>SUMIF(producoes[REGISTRO],REGISTROS[[#This Row],[REGISTRO]],producoes[PRODUZIDO])</f>
        <v>2919</v>
      </c>
      <c r="F80" s="2">
        <f>SUMIF(VendasPr[REGISTRO],REGISTROS[[#This Row],[REGISTRO]],VendasPr[VENDAS])</f>
        <v>1105</v>
      </c>
      <c r="G80" s="2">
        <f>SUMIF(VendasEx[REGISTRO],REGISTROS[[#This Row],[REGISTRO]],VendasEx[VENDAS])</f>
        <v>0</v>
      </c>
      <c r="H80" s="2">
        <f>SUMIF(VENDASUFS[REGISTRO],REGISTROS[[#This Row],[REGISTRO]],VENDASUFS[VENDAS])</f>
        <v>918</v>
      </c>
      <c r="I80" s="3">
        <f>SUMIF(DEVPR[REGISTRO],REGISTROS[[#This Row],[REGISTRO]],DEVPR[VENDAS])</f>
        <v>0</v>
      </c>
      <c r="J80" s="3">
        <f>SUMIF(DEVEX[REGISTRO],REGISTROS[[#This Row],[REGISTRO]],DEVEX[VENDAS])</f>
        <v>0</v>
      </c>
      <c r="K80" s="3">
        <f>SUMIF(devufs[REGISTRO],REGISTROS[[#This Row],[REGISTRO]],devufs[VENDAS])</f>
        <v>1</v>
      </c>
    </row>
    <row r="81" spans="2:11" x14ac:dyDescent="0.25">
      <c r="B81" t="s">
        <v>120</v>
      </c>
      <c r="C81" s="2">
        <f>SUMIF(SLDINI[REGISTRO],REGISTROS[[#This Row],[REGISTRO]],SLDINI[SLDINI])</f>
        <v>76929</v>
      </c>
      <c r="D81" s="2">
        <f>SUMIF(SLDFINAL[REGISTRO],REGISTROS[[#This Row],[REGISTRO]],SLDFINAL[SLDFIM])</f>
        <v>76737</v>
      </c>
      <c r="E81" s="2">
        <f>SUMIF(producoes[REGISTRO],REGISTROS[[#This Row],[REGISTRO]],producoes[PRODUZIDO])</f>
        <v>52875</v>
      </c>
      <c r="F81" s="2">
        <f>SUMIF(VendasPr[REGISTRO],REGISTROS[[#This Row],[REGISTRO]],VendasPr[VENDAS])</f>
        <v>28317</v>
      </c>
      <c r="G81" s="2">
        <f>SUMIF(VendasEx[REGISTRO],REGISTROS[[#This Row],[REGISTRO]],VendasEx[VENDAS])</f>
        <v>0</v>
      </c>
      <c r="H81" s="2">
        <f>SUMIF(VENDASUFS[REGISTRO],REGISTROS[[#This Row],[REGISTRO]],VENDASUFS[VENDAS])</f>
        <v>30154</v>
      </c>
      <c r="I81" s="3">
        <f>SUMIF(DEVPR[REGISTRO],REGISTROS[[#This Row],[REGISTRO]],DEVPR[VENDAS])</f>
        <v>0</v>
      </c>
      <c r="J81" s="3">
        <f>SUMIF(DEVEX[REGISTRO],REGISTROS[[#This Row],[REGISTRO]],DEVEX[VENDAS])</f>
        <v>0</v>
      </c>
      <c r="K81" s="3">
        <f>SUMIF(devufs[REGISTRO],REGISTROS[[#This Row],[REGISTRO]],devufs[VENDAS])</f>
        <v>5404</v>
      </c>
    </row>
    <row r="82" spans="2:11" x14ac:dyDescent="0.25">
      <c r="B82" t="s">
        <v>1494</v>
      </c>
      <c r="C82" s="2">
        <f>SUMIF(SLDINI[REGISTRO],REGISTROS[[#This Row],[REGISTRO]],SLDINI[SLDINI])</f>
        <v>2750</v>
      </c>
      <c r="D82" s="2">
        <f>SUMIF(SLDFINAL[REGISTRO],REGISTROS[[#This Row],[REGISTRO]],SLDFINAL[SLDFIM])</f>
        <v>2750</v>
      </c>
      <c r="E82" s="2">
        <f>SUMIF(producoes[REGISTRO],REGISTROS[[#This Row],[REGISTRO]],producoes[PRODUZIDO])</f>
        <v>0</v>
      </c>
      <c r="F82" s="2">
        <f>SUMIF(VendasPr[REGISTRO],REGISTROS[[#This Row],[REGISTRO]],VendasPr[VENDAS])</f>
        <v>0</v>
      </c>
      <c r="G82" s="2">
        <f>SUMIF(VendasEx[REGISTRO],REGISTROS[[#This Row],[REGISTRO]],VendasEx[VENDAS])</f>
        <v>0</v>
      </c>
      <c r="H82" s="2">
        <f>SUMIF(VENDASUFS[REGISTRO],REGISTROS[[#This Row],[REGISTRO]],VENDASUFS[VENDAS])</f>
        <v>0</v>
      </c>
      <c r="I82" s="3">
        <f>SUMIF(DEVPR[REGISTRO],REGISTROS[[#This Row],[REGISTRO]],DEVPR[VENDAS])</f>
        <v>0</v>
      </c>
      <c r="J82" s="3">
        <f>SUMIF(DEVEX[REGISTRO],REGISTROS[[#This Row],[REGISTRO]],DEVEX[VENDAS])</f>
        <v>0</v>
      </c>
      <c r="K82" s="3">
        <f>SUMIF(devufs[REGISTRO],REGISTROS[[#This Row],[REGISTRO]],devufs[VENDAS])</f>
        <v>0</v>
      </c>
    </row>
    <row r="83" spans="2:11" x14ac:dyDescent="0.25">
      <c r="B83" t="s">
        <v>148</v>
      </c>
      <c r="C83" s="2">
        <f>SUMIF(SLDINI[REGISTRO],REGISTROS[[#This Row],[REGISTRO]],SLDINI[SLDINI])</f>
        <v>12559</v>
      </c>
      <c r="D83" s="2">
        <f>SUMIF(SLDFINAL[REGISTRO],REGISTROS[[#This Row],[REGISTRO]],SLDFINAL[SLDFIM])</f>
        <v>14858</v>
      </c>
      <c r="E83" s="2">
        <f>SUMIF(producoes[REGISTRO],REGISTROS[[#This Row],[REGISTRO]],producoes[PRODUZIDO])</f>
        <v>4955</v>
      </c>
      <c r="F83" s="2">
        <f>SUMIF(VendasPr[REGISTRO],REGISTROS[[#This Row],[REGISTRO]],VendasPr[VENDAS])</f>
        <v>972</v>
      </c>
      <c r="G83" s="2">
        <f>SUMIF(VendasEx[REGISTRO],REGISTROS[[#This Row],[REGISTRO]],VendasEx[VENDAS])</f>
        <v>0</v>
      </c>
      <c r="H83" s="2">
        <f>SUMIF(VENDASUFS[REGISTRO],REGISTROS[[#This Row],[REGISTRO]],VENDASUFS[VENDAS])</f>
        <v>1924</v>
      </c>
      <c r="I83" s="3">
        <f>SUMIF(DEVPR[REGISTRO],REGISTROS[[#This Row],[REGISTRO]],DEVPR[VENDAS])</f>
        <v>0</v>
      </c>
      <c r="J83" s="3">
        <f>SUMIF(DEVEX[REGISTRO],REGISTROS[[#This Row],[REGISTRO]],DEVEX[VENDAS])</f>
        <v>0</v>
      </c>
      <c r="K83" s="3">
        <f>SUMIF(devufs[REGISTRO],REGISTROS[[#This Row],[REGISTRO]],devufs[VENDAS])</f>
        <v>200</v>
      </c>
    </row>
    <row r="84" spans="2:11" x14ac:dyDescent="0.25">
      <c r="B84" t="s">
        <v>411</v>
      </c>
      <c r="C84" s="2">
        <f>SUMIF(SLDINI[REGISTRO],REGISTROS[[#This Row],[REGISTRO]],SLDINI[SLDINI])</f>
        <v>1300</v>
      </c>
      <c r="D84" s="2">
        <f>SUMIF(SLDFINAL[REGISTRO],REGISTROS[[#This Row],[REGISTRO]],SLDFINAL[SLDFIM])</f>
        <v>525</v>
      </c>
      <c r="E84" s="2">
        <f>SUMIF(producoes[REGISTRO],REGISTROS[[#This Row],[REGISTRO]],producoes[PRODUZIDO])</f>
        <v>14000</v>
      </c>
      <c r="F84" s="2">
        <f>SUMIF(VendasPr[REGISTRO],REGISTROS[[#This Row],[REGISTRO]],VendasPr[VENDAS])</f>
        <v>0</v>
      </c>
      <c r="G84" s="2">
        <f>SUMIF(VendasEx[REGISTRO],REGISTROS[[#This Row],[REGISTRO]],VendasEx[VENDAS])</f>
        <v>0</v>
      </c>
      <c r="H84" s="2">
        <f>SUMIF(VENDASUFS[REGISTRO],REGISTROS[[#This Row],[REGISTRO]],VENDASUFS[VENDAS])</f>
        <v>14775</v>
      </c>
      <c r="I84" s="3">
        <f>SUMIF(DEVPR[REGISTRO],REGISTROS[[#This Row],[REGISTRO]],DEVPR[VENDAS])</f>
        <v>0</v>
      </c>
      <c r="J84" s="3">
        <f>SUMIF(DEVEX[REGISTRO],REGISTROS[[#This Row],[REGISTRO]],DEVEX[VENDAS])</f>
        <v>0</v>
      </c>
      <c r="K84" s="3">
        <f>SUMIF(devufs[REGISTRO],REGISTROS[[#This Row],[REGISTRO]],devufs[VENDAS])</f>
        <v>0</v>
      </c>
    </row>
    <row r="85" spans="2:11" x14ac:dyDescent="0.25">
      <c r="B85" t="s">
        <v>134</v>
      </c>
      <c r="C85" s="2">
        <f>SUMIF(SLDINI[REGISTRO],REGISTROS[[#This Row],[REGISTRO]],SLDINI[SLDINI])</f>
        <v>5110</v>
      </c>
      <c r="D85" s="2">
        <f>SUMIF(SLDFINAL[REGISTRO],REGISTROS[[#This Row],[REGISTRO]],SLDFINAL[SLDFIM])</f>
        <v>4610</v>
      </c>
      <c r="E85" s="2">
        <f>SUMIF(producoes[REGISTRO],REGISTROS[[#This Row],[REGISTRO]],producoes[PRODUZIDO])</f>
        <v>0</v>
      </c>
      <c r="F85" s="2">
        <f>SUMIF(VendasPr[REGISTRO],REGISTROS[[#This Row],[REGISTRO]],VendasPr[VENDAS])</f>
        <v>140</v>
      </c>
      <c r="G85" s="2">
        <f>SUMIF(VendasEx[REGISTRO],REGISTROS[[#This Row],[REGISTRO]],VendasEx[VENDAS])</f>
        <v>0</v>
      </c>
      <c r="H85" s="2">
        <f>SUMIF(VENDASUFS[REGISTRO],REGISTROS[[#This Row],[REGISTRO]],VENDASUFS[VENDAS])</f>
        <v>360</v>
      </c>
      <c r="I85" s="3">
        <f>SUMIF(DEVPR[REGISTRO],REGISTROS[[#This Row],[REGISTRO]],DEVPR[VENDAS])</f>
        <v>0</v>
      </c>
      <c r="J85" s="3">
        <f>SUMIF(DEVEX[REGISTRO],REGISTROS[[#This Row],[REGISTRO]],DEVEX[VENDAS])</f>
        <v>0</v>
      </c>
      <c r="K85" s="3">
        <f>SUMIF(devufs[REGISTRO],REGISTROS[[#This Row],[REGISTRO]],devufs[VENDAS])</f>
        <v>0</v>
      </c>
    </row>
    <row r="86" spans="2:11" x14ac:dyDescent="0.25">
      <c r="B86" t="s">
        <v>175</v>
      </c>
      <c r="C86" s="2">
        <f>SUMIF(SLDINI[REGISTRO],REGISTROS[[#This Row],[REGISTRO]],SLDINI[SLDINI])</f>
        <v>5460</v>
      </c>
      <c r="D86" s="2">
        <f>SUMIF(SLDFINAL[REGISTRO],REGISTROS[[#This Row],[REGISTRO]],SLDFINAL[SLDFIM])</f>
        <v>4163</v>
      </c>
      <c r="E86" s="2">
        <f>SUMIF(producoes[REGISTRO],REGISTROS[[#This Row],[REGISTRO]],producoes[PRODUZIDO])</f>
        <v>3</v>
      </c>
      <c r="F86" s="2">
        <f>SUMIF(VendasPr[REGISTRO],REGISTROS[[#This Row],[REGISTRO]],VendasPr[VENDAS])</f>
        <v>1300</v>
      </c>
      <c r="G86" s="2">
        <f>SUMIF(VendasEx[REGISTRO],REGISTROS[[#This Row],[REGISTRO]],VendasEx[VENDAS])</f>
        <v>0</v>
      </c>
      <c r="H86" s="2">
        <f>SUMIF(VENDASUFS[REGISTRO],REGISTROS[[#This Row],[REGISTRO]],VENDASUFS[VENDAS])</f>
        <v>0</v>
      </c>
      <c r="I86" s="3">
        <f>SUMIF(DEVPR[REGISTRO],REGISTROS[[#This Row],[REGISTRO]],DEVPR[VENDAS])</f>
        <v>0</v>
      </c>
      <c r="J86" s="3">
        <f>SUMIF(DEVEX[REGISTRO],REGISTROS[[#This Row],[REGISTRO]],DEVEX[VENDAS])</f>
        <v>0</v>
      </c>
      <c r="K86" s="3">
        <f>SUMIF(devufs[REGISTRO],REGISTROS[[#This Row],[REGISTRO]],devufs[VENDAS])</f>
        <v>0</v>
      </c>
    </row>
    <row r="87" spans="2:11" x14ac:dyDescent="0.25">
      <c r="B87" t="s">
        <v>25</v>
      </c>
      <c r="C87" s="2">
        <f>SUMIF(SLDINI[REGISTRO],REGISTROS[[#This Row],[REGISTRO]],SLDINI[SLDINI])</f>
        <v>6668</v>
      </c>
      <c r="D87" s="2">
        <f>SUMIF(SLDFINAL[REGISTRO],REGISTROS[[#This Row],[REGISTRO]],SLDFINAL[SLDFIM])</f>
        <v>5887</v>
      </c>
      <c r="E87" s="2">
        <f>SUMIF(producoes[REGISTRO],REGISTROS[[#This Row],[REGISTRO]],producoes[PRODUZIDO])</f>
        <v>20648</v>
      </c>
      <c r="F87" s="2">
        <f>SUMIF(VendasPr[REGISTRO],REGISTROS[[#This Row],[REGISTRO]],VendasPr[VENDAS])</f>
        <v>8883</v>
      </c>
      <c r="G87" s="2">
        <f>SUMIF(VendasEx[REGISTRO],REGISTROS[[#This Row],[REGISTRO]],VendasEx[VENDAS])</f>
        <v>0</v>
      </c>
      <c r="H87" s="2">
        <f>SUMIF(VENDASUFS[REGISTRO],REGISTROS[[#This Row],[REGISTRO]],VENDASUFS[VENDAS])</f>
        <v>13984</v>
      </c>
      <c r="I87" s="3">
        <f>SUMIF(DEVPR[REGISTRO],REGISTROS[[#This Row],[REGISTRO]],DEVPR[VENDAS])</f>
        <v>0</v>
      </c>
      <c r="J87" s="3">
        <f>SUMIF(DEVEX[REGISTRO],REGISTROS[[#This Row],[REGISTRO]],DEVEX[VENDAS])</f>
        <v>0</v>
      </c>
      <c r="K87" s="3">
        <f>SUMIF(devufs[REGISTRO],REGISTROS[[#This Row],[REGISTRO]],devufs[VENDAS])</f>
        <v>1438</v>
      </c>
    </row>
    <row r="88" spans="2:11" x14ac:dyDescent="0.25">
      <c r="B88" t="s">
        <v>261</v>
      </c>
      <c r="C88" s="2">
        <f>SUMIF(SLDINI[REGISTRO],REGISTROS[[#This Row],[REGISTRO]],SLDINI[SLDINI])</f>
        <v>6450</v>
      </c>
      <c r="D88" s="2">
        <f>SUMIF(SLDFINAL[REGISTRO],REGISTROS[[#This Row],[REGISTRO]],SLDFINAL[SLDFIM])</f>
        <v>8784</v>
      </c>
      <c r="E88" s="2">
        <f>SUMIF(producoes[REGISTRO],REGISTROS[[#This Row],[REGISTRO]],producoes[PRODUZIDO])</f>
        <v>11142</v>
      </c>
      <c r="F88" s="2">
        <f>SUMIF(VendasPr[REGISTRO],REGISTROS[[#This Row],[REGISTRO]],VendasPr[VENDAS])</f>
        <v>21280</v>
      </c>
      <c r="G88" s="2">
        <f>SUMIF(VendasEx[REGISTRO],REGISTROS[[#This Row],[REGISTRO]],VendasEx[VENDAS])</f>
        <v>0</v>
      </c>
      <c r="H88" s="2">
        <f>SUMIF(VENDASUFS[REGISTRO],REGISTROS[[#This Row],[REGISTRO]],VENDASUFS[VENDAS])</f>
        <v>0</v>
      </c>
      <c r="I88" s="3">
        <f>SUMIF(DEVPR[REGISTRO],REGISTROS[[#This Row],[REGISTRO]],DEVPR[VENDAS])</f>
        <v>12132</v>
      </c>
      <c r="J88" s="3">
        <f>SUMIF(DEVEX[REGISTRO],REGISTROS[[#This Row],[REGISTRO]],DEVEX[VENDAS])</f>
        <v>0</v>
      </c>
      <c r="K88" s="3">
        <f>SUMIF(devufs[REGISTRO],REGISTROS[[#This Row],[REGISTRO]],devufs[VENDAS])</f>
        <v>0</v>
      </c>
    </row>
    <row r="89" spans="2:11" x14ac:dyDescent="0.25">
      <c r="B89" t="s">
        <v>266</v>
      </c>
      <c r="C89" s="2">
        <f>SUMIF(SLDINI[REGISTRO],REGISTROS[[#This Row],[REGISTRO]],SLDINI[SLDINI])</f>
        <v>2000</v>
      </c>
      <c r="D89" s="2">
        <f>SUMIF(SLDFINAL[REGISTRO],REGISTROS[[#This Row],[REGISTRO]],SLDFINAL[SLDFIM])</f>
        <v>1500</v>
      </c>
      <c r="E89" s="2">
        <f>SUMIF(producoes[REGISTRO],REGISTROS[[#This Row],[REGISTRO]],producoes[PRODUZIDO])</f>
        <v>0</v>
      </c>
      <c r="F89" s="2">
        <f>SUMIF(VendasPr[REGISTRO],REGISTROS[[#This Row],[REGISTRO]],VendasPr[VENDAS])</f>
        <v>500</v>
      </c>
      <c r="G89" s="2">
        <f>SUMIF(VendasEx[REGISTRO],REGISTROS[[#This Row],[REGISTRO]],VendasEx[VENDAS])</f>
        <v>0</v>
      </c>
      <c r="H89" s="2">
        <f>SUMIF(VENDASUFS[REGISTRO],REGISTROS[[#This Row],[REGISTRO]],VENDASUFS[VENDAS])</f>
        <v>0</v>
      </c>
      <c r="I89" s="3">
        <f>SUMIF(DEVPR[REGISTRO],REGISTROS[[#This Row],[REGISTRO]],DEVPR[VENDAS])</f>
        <v>0</v>
      </c>
      <c r="J89" s="3">
        <f>SUMIF(DEVEX[REGISTRO],REGISTROS[[#This Row],[REGISTRO]],DEVEX[VENDAS])</f>
        <v>0</v>
      </c>
      <c r="K89" s="3">
        <f>SUMIF(devufs[REGISTRO],REGISTROS[[#This Row],[REGISTRO]],devufs[VENDAS])</f>
        <v>0</v>
      </c>
    </row>
    <row r="90" spans="2:11" x14ac:dyDescent="0.25">
      <c r="B90" t="s">
        <v>1571</v>
      </c>
      <c r="C90" s="2">
        <f>SUMIF(SLDINI[REGISTRO],REGISTROS[[#This Row],[REGISTRO]],SLDINI[SLDINI])</f>
        <v>0</v>
      </c>
      <c r="D90" s="2">
        <f>SUMIF(SLDFINAL[REGISTRO],REGISTROS[[#This Row],[REGISTRO]],SLDFINAL[SLDFIM])</f>
        <v>0</v>
      </c>
      <c r="E90" s="2">
        <f>SUMIF(producoes[REGISTRO],REGISTROS[[#This Row],[REGISTRO]],producoes[PRODUZIDO])</f>
        <v>0</v>
      </c>
      <c r="F90" s="2">
        <f>SUMIF(VendasPr[REGISTRO],REGISTROS[[#This Row],[REGISTRO]],VendasPr[VENDAS])</f>
        <v>0</v>
      </c>
      <c r="G90" s="2">
        <f>SUMIF(VendasEx[REGISTRO],REGISTROS[[#This Row],[REGISTRO]],VendasEx[VENDAS])</f>
        <v>0</v>
      </c>
      <c r="H90" s="2">
        <f>SUMIF(VENDASUFS[REGISTRO],REGISTROS[[#This Row],[REGISTRO]],VENDASUFS[VENDAS])</f>
        <v>0</v>
      </c>
      <c r="I90" s="3">
        <f>SUMIF(DEVPR[REGISTRO],REGISTROS[[#This Row],[REGISTRO]],DEVPR[VENDAS])</f>
        <v>0</v>
      </c>
      <c r="J90" s="3">
        <f>SUMIF(DEVEX[REGISTRO],REGISTROS[[#This Row],[REGISTRO]],DEVEX[VENDAS])</f>
        <v>0</v>
      </c>
      <c r="K90" s="3">
        <f>SUMIF(devufs[REGISTRO],REGISTROS[[#This Row],[REGISTRO]],devufs[VENDAS])</f>
        <v>0</v>
      </c>
    </row>
    <row r="91" spans="2:11" x14ac:dyDescent="0.25">
      <c r="B91" t="s">
        <v>585</v>
      </c>
      <c r="C91" s="2">
        <f>SUMIF(SLDINI[REGISTRO],REGISTROS[[#This Row],[REGISTRO]],SLDINI[SLDINI])</f>
        <v>6039</v>
      </c>
      <c r="D91" s="2">
        <f>SUMIF(SLDFINAL[REGISTRO],REGISTROS[[#This Row],[REGISTRO]],SLDFINAL[SLDFIM])</f>
        <v>8023</v>
      </c>
      <c r="E91" s="2">
        <f>SUMIF(producoes[REGISTRO],REGISTROS[[#This Row],[REGISTRO]],producoes[PRODUZIDO])</f>
        <v>5078</v>
      </c>
      <c r="F91" s="2">
        <f>SUMIF(VendasPr[REGISTRO],REGISTROS[[#This Row],[REGISTRO]],VendasPr[VENDAS])</f>
        <v>934</v>
      </c>
      <c r="G91" s="2">
        <f>SUMIF(VendasEx[REGISTRO],REGISTROS[[#This Row],[REGISTRO]],VendasEx[VENDAS])</f>
        <v>0</v>
      </c>
      <c r="H91" s="2">
        <f>SUMIF(VENDASUFS[REGISTRO],REGISTROS[[#This Row],[REGISTRO]],VENDASUFS[VENDAS])</f>
        <v>2240</v>
      </c>
      <c r="I91" s="3">
        <f>SUMIF(DEVPR[REGISTRO],REGISTROS[[#This Row],[REGISTRO]],DEVPR[VENDAS])</f>
        <v>0</v>
      </c>
      <c r="J91" s="3">
        <f>SUMIF(DEVEX[REGISTRO],REGISTROS[[#This Row],[REGISTRO]],DEVEX[VENDAS])</f>
        <v>0</v>
      </c>
      <c r="K91" s="3">
        <f>SUMIF(devufs[REGISTRO],REGISTROS[[#This Row],[REGISTRO]],devufs[VENDAS])</f>
        <v>0</v>
      </c>
    </row>
    <row r="92" spans="2:11" x14ac:dyDescent="0.25">
      <c r="B92" t="s">
        <v>156</v>
      </c>
      <c r="C92" s="2">
        <f>SUMIF(SLDINI[REGISTRO],REGISTROS[[#This Row],[REGISTRO]],SLDINI[SLDINI])</f>
        <v>25450</v>
      </c>
      <c r="D92" s="2">
        <f>SUMIF(SLDFINAL[REGISTRO],REGISTROS[[#This Row],[REGISTRO]],SLDFINAL[SLDFIM])</f>
        <v>25375</v>
      </c>
      <c r="E92" s="2">
        <f>SUMIF(producoes[REGISTRO],REGISTROS[[#This Row],[REGISTRO]],producoes[PRODUZIDO])</f>
        <v>0</v>
      </c>
      <c r="F92" s="2">
        <f>SUMIF(VendasPr[REGISTRO],REGISTROS[[#This Row],[REGISTRO]],VendasPr[VENDAS])</f>
        <v>0</v>
      </c>
      <c r="G92" s="2">
        <f>SUMIF(VendasEx[REGISTRO],REGISTROS[[#This Row],[REGISTRO]],VendasEx[VENDAS])</f>
        <v>0</v>
      </c>
      <c r="H92" s="2">
        <f>SUMIF(VENDASUFS[REGISTRO],REGISTROS[[#This Row],[REGISTRO]],VENDASUFS[VENDAS])</f>
        <v>75</v>
      </c>
      <c r="I92" s="3">
        <f>SUMIF(DEVPR[REGISTRO],REGISTROS[[#This Row],[REGISTRO]],DEVPR[VENDAS])</f>
        <v>0</v>
      </c>
      <c r="J92" s="3">
        <f>SUMIF(DEVEX[REGISTRO],REGISTROS[[#This Row],[REGISTRO]],DEVEX[VENDAS])</f>
        <v>0</v>
      </c>
      <c r="K92" s="3">
        <f>SUMIF(devufs[REGISTRO],REGISTROS[[#This Row],[REGISTRO]],devufs[VENDAS])</f>
        <v>0</v>
      </c>
    </row>
    <row r="93" spans="2:11" x14ac:dyDescent="0.25">
      <c r="B93" t="s">
        <v>40</v>
      </c>
      <c r="C93" s="2">
        <f>SUMIF(SLDINI[REGISTRO],REGISTROS[[#This Row],[REGISTRO]],SLDINI[SLDINI])</f>
        <v>1219</v>
      </c>
      <c r="D93" s="2">
        <f>SUMIF(SLDFINAL[REGISTRO],REGISTROS[[#This Row],[REGISTRO]],SLDFINAL[SLDFIM])</f>
        <v>2767</v>
      </c>
      <c r="E93" s="2">
        <f>SUMIF(producoes[REGISTRO],REGISTROS[[#This Row],[REGISTRO]],producoes[PRODUZIDO])</f>
        <v>8459</v>
      </c>
      <c r="F93" s="2">
        <f>SUMIF(VendasPr[REGISTRO],REGISTROS[[#This Row],[REGISTRO]],VendasPr[VENDAS])</f>
        <v>2032</v>
      </c>
      <c r="G93" s="2">
        <f>SUMIF(VendasEx[REGISTRO],REGISTROS[[#This Row],[REGISTRO]],VendasEx[VENDAS])</f>
        <v>0</v>
      </c>
      <c r="H93" s="2">
        <f>SUMIF(VENDASUFS[REGISTRO],REGISTROS[[#This Row],[REGISTRO]],VENDASUFS[VENDAS])</f>
        <v>4945</v>
      </c>
      <c r="I93" s="3">
        <f>SUMIF(DEVPR[REGISTRO],REGISTROS[[#This Row],[REGISTRO]],DEVPR[VENDAS])</f>
        <v>0</v>
      </c>
      <c r="J93" s="3">
        <f>SUMIF(DEVEX[REGISTRO],REGISTROS[[#This Row],[REGISTRO]],DEVEX[VENDAS])</f>
        <v>0</v>
      </c>
      <c r="K93" s="3">
        <f>SUMIF(devufs[REGISTRO],REGISTROS[[#This Row],[REGISTRO]],devufs[VENDAS])</f>
        <v>66</v>
      </c>
    </row>
    <row r="94" spans="2:11" x14ac:dyDescent="0.25">
      <c r="B94" t="s">
        <v>114</v>
      </c>
      <c r="C94" s="2">
        <f>SUMIF(SLDINI[REGISTRO],REGISTROS[[#This Row],[REGISTRO]],SLDINI[SLDINI])</f>
        <v>24090</v>
      </c>
      <c r="D94" s="2">
        <f>SUMIF(SLDFINAL[REGISTRO],REGISTROS[[#This Row],[REGISTRO]],SLDFINAL[SLDFIM])</f>
        <v>20955</v>
      </c>
      <c r="E94" s="2">
        <f>SUMIF(producoes[REGISTRO],REGISTROS[[#This Row],[REGISTRO]],producoes[PRODUZIDO])</f>
        <v>0</v>
      </c>
      <c r="F94" s="2">
        <f>SUMIF(VendasPr[REGISTRO],REGISTROS[[#This Row],[REGISTRO]],VendasPr[VENDAS])</f>
        <v>1320</v>
      </c>
      <c r="G94" s="2">
        <f>SUMIF(VendasEx[REGISTRO],REGISTROS[[#This Row],[REGISTRO]],VendasEx[VENDAS])</f>
        <v>0</v>
      </c>
      <c r="H94" s="2">
        <f>SUMIF(VENDASUFS[REGISTRO],REGISTROS[[#This Row],[REGISTRO]],VENDASUFS[VENDAS])</f>
        <v>1815</v>
      </c>
      <c r="I94" s="3">
        <f>SUMIF(DEVPR[REGISTRO],REGISTROS[[#This Row],[REGISTRO]],DEVPR[VENDAS])</f>
        <v>0</v>
      </c>
      <c r="J94" s="3">
        <f>SUMIF(DEVEX[REGISTRO],REGISTROS[[#This Row],[REGISTRO]],DEVEX[VENDAS])</f>
        <v>0</v>
      </c>
      <c r="K94" s="3">
        <f>SUMIF(devufs[REGISTRO],REGISTROS[[#This Row],[REGISTRO]],devufs[VENDAS])</f>
        <v>0</v>
      </c>
    </row>
    <row r="95" spans="2:11" x14ac:dyDescent="0.25">
      <c r="B95" t="s">
        <v>161</v>
      </c>
      <c r="C95" s="2">
        <f>SUMIF(SLDINI[REGISTRO],REGISTROS[[#This Row],[REGISTRO]],SLDINI[SLDINI])</f>
        <v>1893</v>
      </c>
      <c r="D95" s="2">
        <f>SUMIF(SLDFINAL[REGISTRO],REGISTROS[[#This Row],[REGISTRO]],SLDFINAL[SLDFIM])</f>
        <v>3414</v>
      </c>
      <c r="E95" s="2">
        <f>SUMIF(producoes[REGISTRO],REGISTROS[[#This Row],[REGISTRO]],producoes[PRODUZIDO])</f>
        <v>7801</v>
      </c>
      <c r="F95" s="2">
        <f>SUMIF(VendasPr[REGISTRO],REGISTROS[[#This Row],[REGISTRO]],VendasPr[VENDAS])</f>
        <v>5360</v>
      </c>
      <c r="G95" s="2">
        <f>SUMIF(VendasEx[REGISTRO],REGISTROS[[#This Row],[REGISTRO]],VendasEx[VENDAS])</f>
        <v>0</v>
      </c>
      <c r="H95" s="2">
        <f>SUMIF(VENDASUFS[REGISTRO],REGISTROS[[#This Row],[REGISTRO]],VENDASUFS[VENDAS])</f>
        <v>1020</v>
      </c>
      <c r="I95" s="3">
        <f>SUMIF(DEVPR[REGISTRO],REGISTROS[[#This Row],[REGISTRO]],DEVPR[VENDAS])</f>
        <v>0</v>
      </c>
      <c r="J95" s="3">
        <f>SUMIF(DEVEX[REGISTRO],REGISTROS[[#This Row],[REGISTRO]],DEVEX[VENDAS])</f>
        <v>0</v>
      </c>
      <c r="K95" s="3">
        <f>SUMIF(devufs[REGISTRO],REGISTROS[[#This Row],[REGISTRO]],devufs[VENDAS])</f>
        <v>100</v>
      </c>
    </row>
    <row r="96" spans="2:11" x14ac:dyDescent="0.25">
      <c r="B96" t="s">
        <v>730</v>
      </c>
      <c r="C96" s="2">
        <f>SUMIF(SLDINI[REGISTRO],REGISTROS[[#This Row],[REGISTRO]],SLDINI[SLDINI])</f>
        <v>0</v>
      </c>
      <c r="D96" s="2">
        <f>SUMIF(SLDFINAL[REGISTRO],REGISTROS[[#This Row],[REGISTRO]],SLDFINAL[SLDFIM])</f>
        <v>0</v>
      </c>
      <c r="E96" s="2">
        <f>SUMIF(producoes[REGISTRO],REGISTROS[[#This Row],[REGISTRO]],producoes[PRODUZIDO])</f>
        <v>0</v>
      </c>
      <c r="F96" s="2">
        <f>SUMIF(VendasPr[REGISTRO],REGISTROS[[#This Row],[REGISTRO]],VendasPr[VENDAS])</f>
        <v>0</v>
      </c>
      <c r="G96" s="2">
        <f>SUMIF(VendasEx[REGISTRO],REGISTROS[[#This Row],[REGISTRO]],VendasEx[VENDAS])</f>
        <v>0</v>
      </c>
      <c r="H96" s="2">
        <f>SUMIF(VENDASUFS[REGISTRO],REGISTROS[[#This Row],[REGISTRO]],VENDASUFS[VENDAS])</f>
        <v>0</v>
      </c>
      <c r="I96" s="3">
        <f>SUMIF(DEVPR[REGISTRO],REGISTROS[[#This Row],[REGISTRO]],DEVPR[VENDAS])</f>
        <v>0</v>
      </c>
      <c r="J96" s="3">
        <f>SUMIF(DEVEX[REGISTRO],REGISTROS[[#This Row],[REGISTRO]],DEVEX[VENDAS])</f>
        <v>0</v>
      </c>
      <c r="K96" s="3">
        <f>SUMIF(devufs[REGISTRO],REGISTROS[[#This Row],[REGISTRO]],devufs[VENDAS])</f>
        <v>0</v>
      </c>
    </row>
    <row r="97" spans="2:11" x14ac:dyDescent="0.25">
      <c r="B97" t="s">
        <v>418</v>
      </c>
      <c r="C97" s="2">
        <f>SUMIF(SLDINI[REGISTRO],REGISTROS[[#This Row],[REGISTRO]],SLDINI[SLDINI])</f>
        <v>19880</v>
      </c>
      <c r="D97" s="2">
        <f>SUMIF(SLDFINAL[REGISTRO],REGISTROS[[#This Row],[REGISTRO]],SLDFINAL[SLDFIM])</f>
        <v>17480</v>
      </c>
      <c r="E97" s="2">
        <f>SUMIF(producoes[REGISTRO],REGISTROS[[#This Row],[REGISTRO]],producoes[PRODUZIDO])</f>
        <v>0</v>
      </c>
      <c r="F97" s="2">
        <f>SUMIF(VendasPr[REGISTRO],REGISTROS[[#This Row],[REGISTRO]],VendasPr[VENDAS])</f>
        <v>1800</v>
      </c>
      <c r="G97" s="2">
        <f>SUMIF(VendasEx[REGISTRO],REGISTROS[[#This Row],[REGISTRO]],VendasEx[VENDAS])</f>
        <v>0</v>
      </c>
      <c r="H97" s="2">
        <f>SUMIF(VENDASUFS[REGISTRO],REGISTROS[[#This Row],[REGISTRO]],VENDASUFS[VENDAS])</f>
        <v>600</v>
      </c>
      <c r="I97" s="3">
        <f>SUMIF(DEVPR[REGISTRO],REGISTROS[[#This Row],[REGISTRO]],DEVPR[VENDAS])</f>
        <v>0</v>
      </c>
      <c r="J97" s="3">
        <f>SUMIF(DEVEX[REGISTRO],REGISTROS[[#This Row],[REGISTRO]],DEVEX[VENDAS])</f>
        <v>0</v>
      </c>
      <c r="K97" s="3">
        <f>SUMIF(devufs[REGISTRO],REGISTROS[[#This Row],[REGISTRO]],devufs[VENDAS])</f>
        <v>0</v>
      </c>
    </row>
    <row r="98" spans="2:11" x14ac:dyDescent="0.25">
      <c r="B98" t="s">
        <v>712</v>
      </c>
      <c r="C98" s="2">
        <f>SUMIF(SLDINI[REGISTRO],REGISTROS[[#This Row],[REGISTRO]],SLDINI[SLDINI])</f>
        <v>4380</v>
      </c>
      <c r="D98" s="2">
        <f>SUMIF(SLDFINAL[REGISTRO],REGISTROS[[#This Row],[REGISTRO]],SLDFINAL[SLDFIM])</f>
        <v>768</v>
      </c>
      <c r="E98" s="2">
        <f>SUMIF(producoes[REGISTRO],REGISTROS[[#This Row],[REGISTRO]],producoes[PRODUZIDO])</f>
        <v>0</v>
      </c>
      <c r="F98" s="2">
        <f>SUMIF(VendasPr[REGISTRO],REGISTROS[[#This Row],[REGISTRO]],VendasPr[VENDAS])</f>
        <v>1860</v>
      </c>
      <c r="G98" s="2">
        <f>SUMIF(VendasEx[REGISTRO],REGISTROS[[#This Row],[REGISTRO]],VendasEx[VENDAS])</f>
        <v>0</v>
      </c>
      <c r="H98" s="2">
        <f>SUMIF(VENDASUFS[REGISTRO],REGISTROS[[#This Row],[REGISTRO]],VENDASUFS[VENDAS])</f>
        <v>2052</v>
      </c>
      <c r="I98" s="3">
        <f>SUMIF(DEVPR[REGISTRO],REGISTROS[[#This Row],[REGISTRO]],DEVPR[VENDAS])</f>
        <v>300</v>
      </c>
      <c r="J98" s="3">
        <f>SUMIF(DEVEX[REGISTRO],REGISTROS[[#This Row],[REGISTRO]],DEVEX[VENDAS])</f>
        <v>0</v>
      </c>
      <c r="K98" s="3">
        <f>SUMIF(devufs[REGISTRO],REGISTROS[[#This Row],[REGISTRO]],devufs[VENDAS])</f>
        <v>0</v>
      </c>
    </row>
    <row r="99" spans="2:11" x14ac:dyDescent="0.25">
      <c r="B99" t="s">
        <v>1597</v>
      </c>
      <c r="C99" s="2">
        <f>SUMIF(SLDINI[REGISTRO],REGISTROS[[#This Row],[REGISTRO]],SLDINI[SLDINI])</f>
        <v>0</v>
      </c>
      <c r="D99" s="2">
        <f>SUMIF(SLDFINAL[REGISTRO],REGISTROS[[#This Row],[REGISTRO]],SLDFINAL[SLDFIM])</f>
        <v>0</v>
      </c>
      <c r="E99" s="2">
        <f>SUMIF(producoes[REGISTRO],REGISTROS[[#This Row],[REGISTRO]],producoes[PRODUZIDO])</f>
        <v>0</v>
      </c>
      <c r="F99" s="2">
        <f>SUMIF(VendasPr[REGISTRO],REGISTROS[[#This Row],[REGISTRO]],VendasPr[VENDAS])</f>
        <v>0</v>
      </c>
      <c r="G99" s="2">
        <f>SUMIF(VendasEx[REGISTRO],REGISTROS[[#This Row],[REGISTRO]],VendasEx[VENDAS])</f>
        <v>0</v>
      </c>
      <c r="H99" s="2">
        <f>SUMIF(VENDASUFS[REGISTRO],REGISTROS[[#This Row],[REGISTRO]],VENDASUFS[VENDAS])</f>
        <v>0</v>
      </c>
      <c r="I99" s="3">
        <f>SUMIF(DEVPR[REGISTRO],REGISTROS[[#This Row],[REGISTRO]],DEVPR[VENDAS])</f>
        <v>0</v>
      </c>
      <c r="J99" s="3">
        <f>SUMIF(DEVEX[REGISTRO],REGISTROS[[#This Row],[REGISTRO]],DEVEX[VENDAS])</f>
        <v>0</v>
      </c>
      <c r="K99" s="3">
        <f>SUMIF(devufs[REGISTRO],REGISTROS[[#This Row],[REGISTRO]],devufs[VENDAS])</f>
        <v>0</v>
      </c>
    </row>
    <row r="100" spans="2:11" x14ac:dyDescent="0.25">
      <c r="B100" t="s">
        <v>1578</v>
      </c>
      <c r="C100" s="2">
        <f>SUMIF(SLDINI[REGISTRO],REGISTROS[[#This Row],[REGISTRO]],SLDINI[SLDINI])</f>
        <v>0</v>
      </c>
      <c r="D100" s="2">
        <f>SUMIF(SLDFINAL[REGISTRO],REGISTROS[[#This Row],[REGISTRO]],SLDFINAL[SLDFIM])</f>
        <v>0</v>
      </c>
      <c r="E100" s="2">
        <f>SUMIF(producoes[REGISTRO],REGISTROS[[#This Row],[REGISTRO]],producoes[PRODUZIDO])</f>
        <v>0</v>
      </c>
      <c r="F100" s="2">
        <f>SUMIF(VendasPr[REGISTRO],REGISTROS[[#This Row],[REGISTRO]],VendasPr[VENDAS])</f>
        <v>0</v>
      </c>
      <c r="G100" s="2">
        <f>SUMIF(VendasEx[REGISTRO],REGISTROS[[#This Row],[REGISTRO]],VendasEx[VENDAS])</f>
        <v>0</v>
      </c>
      <c r="H100" s="2">
        <f>SUMIF(VENDASUFS[REGISTRO],REGISTROS[[#This Row],[REGISTRO]],VENDASUFS[VENDAS])</f>
        <v>0</v>
      </c>
      <c r="I100" s="3">
        <f>SUMIF(DEVPR[REGISTRO],REGISTROS[[#This Row],[REGISTRO]],DEVPR[VENDAS])</f>
        <v>0</v>
      </c>
      <c r="J100" s="3">
        <f>SUMIF(DEVEX[REGISTRO],REGISTROS[[#This Row],[REGISTRO]],DEVEX[VENDAS])</f>
        <v>0</v>
      </c>
      <c r="K100" s="3">
        <f>SUMIF(devufs[REGISTRO],REGISTROS[[#This Row],[REGISTRO]],devufs[VENDAS])</f>
        <v>0</v>
      </c>
    </row>
    <row r="101" spans="2:11" x14ac:dyDescent="0.25">
      <c r="B101" t="s">
        <v>1598</v>
      </c>
      <c r="C101" s="2">
        <f>SUMIF(SLDINI[REGISTRO],REGISTROS[[#This Row],[REGISTRO]],SLDINI[SLDINI])</f>
        <v>0</v>
      </c>
      <c r="D101" s="2">
        <f>SUMIF(SLDFINAL[REGISTRO],REGISTROS[[#This Row],[REGISTRO]],SLDFINAL[SLDFIM])</f>
        <v>0</v>
      </c>
      <c r="E101" s="2">
        <f>SUMIF(producoes[REGISTRO],REGISTROS[[#This Row],[REGISTRO]],producoes[PRODUZIDO])</f>
        <v>0</v>
      </c>
      <c r="F101" s="2">
        <f>SUMIF(VendasPr[REGISTRO],REGISTROS[[#This Row],[REGISTRO]],VendasPr[VENDAS])</f>
        <v>0</v>
      </c>
      <c r="G101" s="2">
        <f>SUMIF(VendasEx[REGISTRO],REGISTROS[[#This Row],[REGISTRO]],VendasEx[VENDAS])</f>
        <v>0</v>
      </c>
      <c r="H101" s="2">
        <f>SUMIF(VENDASUFS[REGISTRO],REGISTROS[[#This Row],[REGISTRO]],VENDASUFS[VENDAS])</f>
        <v>0</v>
      </c>
      <c r="I101" s="3">
        <f>SUMIF(DEVPR[REGISTRO],REGISTROS[[#This Row],[REGISTRO]],DEVPR[VENDAS])</f>
        <v>0</v>
      </c>
      <c r="J101" s="3">
        <f>SUMIF(DEVEX[REGISTRO],REGISTROS[[#This Row],[REGISTRO]],DEVEX[VENDAS])</f>
        <v>0</v>
      </c>
      <c r="K101" s="3">
        <f>SUMIF(devufs[REGISTRO],REGISTROS[[#This Row],[REGISTRO]],devufs[VENDAS])</f>
        <v>0</v>
      </c>
    </row>
    <row r="102" spans="2:11" x14ac:dyDescent="0.25">
      <c r="B102" t="s">
        <v>250</v>
      </c>
      <c r="C102" s="2">
        <f>SUMIF(SLDINI[REGISTRO],REGISTROS[[#This Row],[REGISTRO]],SLDINI[SLDINI])</f>
        <v>0</v>
      </c>
      <c r="D102" s="2">
        <f>SUMIF(SLDFINAL[REGISTRO],REGISTROS[[#This Row],[REGISTRO]],SLDFINAL[SLDFIM])</f>
        <v>0</v>
      </c>
      <c r="E102" s="2">
        <f>SUMIF(producoes[REGISTRO],REGISTROS[[#This Row],[REGISTRO]],producoes[PRODUZIDO])</f>
        <v>0</v>
      </c>
      <c r="F102" s="2">
        <f>SUMIF(VendasPr[REGISTRO],REGISTROS[[#This Row],[REGISTRO]],VendasPr[VENDAS])</f>
        <v>0</v>
      </c>
      <c r="G102" s="2">
        <f>SUMIF(VendasEx[REGISTRO],REGISTROS[[#This Row],[REGISTRO]],VendasEx[VENDAS])</f>
        <v>0</v>
      </c>
      <c r="H102" s="2">
        <f>SUMIF(VENDASUFS[REGISTRO],REGISTROS[[#This Row],[REGISTRO]],VENDASUFS[VENDAS])</f>
        <v>0</v>
      </c>
      <c r="I102" s="3">
        <f>SUMIF(DEVPR[REGISTRO],REGISTROS[[#This Row],[REGISTRO]],DEVPR[VENDAS])</f>
        <v>0</v>
      </c>
      <c r="J102" s="3">
        <f>SUMIF(DEVEX[REGISTRO],REGISTROS[[#This Row],[REGISTRO]],DEVEX[VENDAS])</f>
        <v>0</v>
      </c>
      <c r="K102" s="3">
        <f>SUMIF(devufs[REGISTRO],REGISTROS[[#This Row],[REGISTRO]],devufs[VENDAS])</f>
        <v>0</v>
      </c>
    </row>
    <row r="103" spans="2:11" x14ac:dyDescent="0.25">
      <c r="B103" t="s">
        <v>687</v>
      </c>
      <c r="C103" s="2">
        <f>SUMIF(SLDINI[REGISTRO],REGISTROS[[#This Row],[REGISTRO]],SLDINI[SLDINI])</f>
        <v>0</v>
      </c>
      <c r="D103" s="2">
        <f>SUMIF(SLDFINAL[REGISTRO],REGISTROS[[#This Row],[REGISTRO]],SLDFINAL[SLDFIM])</f>
        <v>0</v>
      </c>
      <c r="E103" s="2">
        <f>SUMIF(producoes[REGISTRO],REGISTROS[[#This Row],[REGISTRO]],producoes[PRODUZIDO])</f>
        <v>0</v>
      </c>
      <c r="F103" s="2">
        <f>SUMIF(VendasPr[REGISTRO],REGISTROS[[#This Row],[REGISTRO]],VendasPr[VENDAS])</f>
        <v>0</v>
      </c>
      <c r="G103" s="2">
        <f>SUMIF(VendasEx[REGISTRO],REGISTROS[[#This Row],[REGISTRO]],VendasEx[VENDAS])</f>
        <v>0</v>
      </c>
      <c r="H103" s="2">
        <f>SUMIF(VENDASUFS[REGISTRO],REGISTROS[[#This Row],[REGISTRO]],VENDASUFS[VENDAS])</f>
        <v>0</v>
      </c>
      <c r="I103" s="3">
        <f>SUMIF(DEVPR[REGISTRO],REGISTROS[[#This Row],[REGISTRO]],DEVPR[VENDAS])</f>
        <v>0</v>
      </c>
      <c r="J103" s="3">
        <f>SUMIF(DEVEX[REGISTRO],REGISTROS[[#This Row],[REGISTRO]],DEVEX[VENDAS])</f>
        <v>0</v>
      </c>
      <c r="K103" s="3">
        <f>SUMIF(devufs[REGISTRO],REGISTROS[[#This Row],[REGISTRO]],devufs[VENDAS])</f>
        <v>0</v>
      </c>
    </row>
    <row r="104" spans="2:11" x14ac:dyDescent="0.25">
      <c r="B104" t="s">
        <v>125</v>
      </c>
      <c r="C104" s="2">
        <f>SUMIF(SLDINI[REGISTRO],REGISTROS[[#This Row],[REGISTRO]],SLDINI[SLDINI])</f>
        <v>0</v>
      </c>
      <c r="D104" s="2">
        <f>SUMIF(SLDFINAL[REGISTRO],REGISTROS[[#This Row],[REGISTRO]],SLDFINAL[SLDFIM])</f>
        <v>0</v>
      </c>
      <c r="E104" s="2">
        <f>SUMIF(producoes[REGISTRO],REGISTROS[[#This Row],[REGISTRO]],producoes[PRODUZIDO])</f>
        <v>0</v>
      </c>
      <c r="F104" s="2">
        <f>SUMIF(VendasPr[REGISTRO],REGISTROS[[#This Row],[REGISTRO]],VendasPr[VENDAS])</f>
        <v>0</v>
      </c>
      <c r="G104" s="2">
        <f>SUMIF(VendasEx[REGISTRO],REGISTROS[[#This Row],[REGISTRO]],VendasEx[VENDAS])</f>
        <v>0</v>
      </c>
      <c r="H104" s="2">
        <f>SUMIF(VENDASUFS[REGISTRO],REGISTROS[[#This Row],[REGISTRO]],VENDASUFS[VENDAS])</f>
        <v>0</v>
      </c>
      <c r="I104" s="3">
        <f>SUMIF(DEVPR[REGISTRO],REGISTROS[[#This Row],[REGISTRO]],DEVPR[VENDAS])</f>
        <v>0</v>
      </c>
      <c r="J104" s="3">
        <f>SUMIF(DEVEX[REGISTRO],REGISTROS[[#This Row],[REGISTRO]],DEVEX[VENDAS])</f>
        <v>0</v>
      </c>
      <c r="K104" s="3">
        <f>SUMIF(devufs[REGISTRO],REGISTROS[[#This Row],[REGISTRO]],devufs[VENDAS])</f>
        <v>0</v>
      </c>
    </row>
    <row r="105" spans="2:11" x14ac:dyDescent="0.25">
      <c r="B105" t="s">
        <v>1071</v>
      </c>
      <c r="C105" s="2">
        <f>SUMIF(SLDINI[REGISTRO],REGISTROS[[#This Row],[REGISTRO]],SLDINI[SLDINI])</f>
        <v>0</v>
      </c>
      <c r="D105" s="2">
        <f>SUMIF(SLDFINAL[REGISTRO],REGISTROS[[#This Row],[REGISTRO]],SLDFINAL[SLDFIM])</f>
        <v>0</v>
      </c>
      <c r="E105" s="2">
        <f>SUMIF(producoes[REGISTRO],REGISTROS[[#This Row],[REGISTRO]],producoes[PRODUZIDO])</f>
        <v>0</v>
      </c>
      <c r="F105" s="2">
        <f>SUMIF(VendasPr[REGISTRO],REGISTROS[[#This Row],[REGISTRO]],VendasPr[VENDAS])</f>
        <v>0</v>
      </c>
      <c r="G105" s="2">
        <f>SUMIF(VendasEx[REGISTRO],REGISTROS[[#This Row],[REGISTRO]],VendasEx[VENDAS])</f>
        <v>0</v>
      </c>
      <c r="H105" s="2">
        <f>SUMIF(VENDASUFS[REGISTRO],REGISTROS[[#This Row],[REGISTRO]],VENDASUFS[VENDAS])</f>
        <v>0</v>
      </c>
      <c r="I105" s="3">
        <f>SUMIF(DEVPR[REGISTRO],REGISTROS[[#This Row],[REGISTRO]],DEVPR[VENDAS])</f>
        <v>0</v>
      </c>
      <c r="J105" s="3">
        <f>SUMIF(DEVEX[REGISTRO],REGISTROS[[#This Row],[REGISTRO]],DEVEX[VENDAS])</f>
        <v>0</v>
      </c>
      <c r="K105" s="3">
        <f>SUMIF(devufs[REGISTRO],REGISTROS[[#This Row],[REGISTRO]],devufs[VENDAS])</f>
        <v>0</v>
      </c>
    </row>
    <row r="106" spans="2:11" x14ac:dyDescent="0.25">
      <c r="B106" t="s">
        <v>128</v>
      </c>
      <c r="C106" s="2">
        <f>SUMIF(SLDINI[REGISTRO],REGISTROS[[#This Row],[REGISTRO]],SLDINI[SLDINI])</f>
        <v>0</v>
      </c>
      <c r="D106" s="2">
        <f>SUMIF(SLDFINAL[REGISTRO],REGISTROS[[#This Row],[REGISTRO]],SLDFINAL[SLDFIM])</f>
        <v>0</v>
      </c>
      <c r="E106" s="2">
        <f>SUMIF(producoes[REGISTRO],REGISTROS[[#This Row],[REGISTRO]],producoes[PRODUZIDO])</f>
        <v>0</v>
      </c>
      <c r="F106" s="2">
        <f>SUMIF(VendasPr[REGISTRO],REGISTROS[[#This Row],[REGISTRO]],VendasPr[VENDAS])</f>
        <v>0</v>
      </c>
      <c r="G106" s="2">
        <f>SUMIF(VendasEx[REGISTRO],REGISTROS[[#This Row],[REGISTRO]],VendasEx[VENDAS])</f>
        <v>0</v>
      </c>
      <c r="H106" s="2">
        <f>SUMIF(VENDASUFS[REGISTRO],REGISTROS[[#This Row],[REGISTRO]],VENDASUFS[VENDAS])</f>
        <v>0</v>
      </c>
      <c r="I106" s="3">
        <f>SUMIF(DEVPR[REGISTRO],REGISTROS[[#This Row],[REGISTRO]],DEVPR[VENDAS])</f>
        <v>0</v>
      </c>
      <c r="J106" s="3">
        <f>SUMIF(DEVEX[REGISTRO],REGISTROS[[#This Row],[REGISTRO]],DEVEX[VENDAS])</f>
        <v>0</v>
      </c>
      <c r="K106" s="3">
        <f>SUMIF(devufs[REGISTRO],REGISTROS[[#This Row],[REGISTRO]],devufs[VENDAS])</f>
        <v>0</v>
      </c>
    </row>
    <row r="107" spans="2:11" x14ac:dyDescent="0.25">
      <c r="B107" t="s">
        <v>380</v>
      </c>
      <c r="C107" s="2">
        <f>SUMIF(SLDINI[REGISTRO],REGISTROS[[#This Row],[REGISTRO]],SLDINI[SLDINI])</f>
        <v>40</v>
      </c>
      <c r="D107" s="2">
        <f>SUMIF(SLDFINAL[REGISTRO],REGISTROS[[#This Row],[REGISTRO]],SLDFINAL[SLDFIM])</f>
        <v>0</v>
      </c>
      <c r="E107" s="2">
        <f>SUMIF(producoes[REGISTRO],REGISTROS[[#This Row],[REGISTRO]],producoes[PRODUZIDO])</f>
        <v>-40</v>
      </c>
      <c r="F107" s="2">
        <f>SUMIF(VendasPr[REGISTRO],REGISTROS[[#This Row],[REGISTRO]],VendasPr[VENDAS])</f>
        <v>0</v>
      </c>
      <c r="G107" s="2">
        <f>SUMIF(VendasEx[REGISTRO],REGISTROS[[#This Row],[REGISTRO]],VendasEx[VENDAS])</f>
        <v>0</v>
      </c>
      <c r="H107" s="2">
        <f>SUMIF(VENDASUFS[REGISTRO],REGISTROS[[#This Row],[REGISTRO]],VENDASUFS[VENDAS])</f>
        <v>0</v>
      </c>
      <c r="I107" s="3">
        <f>SUMIF(DEVPR[REGISTRO],REGISTROS[[#This Row],[REGISTRO]],DEVPR[VENDAS])</f>
        <v>0</v>
      </c>
      <c r="J107" s="3">
        <f>SUMIF(DEVEX[REGISTRO],REGISTROS[[#This Row],[REGISTRO]],DEVEX[VENDAS])</f>
        <v>0</v>
      </c>
      <c r="K107" s="3">
        <f>SUMIF(devufs[REGISTRO],REGISTROS[[#This Row],[REGISTRO]],devufs[VENDAS])</f>
        <v>0</v>
      </c>
    </row>
    <row r="108" spans="2:11" x14ac:dyDescent="0.25">
      <c r="B108" t="s">
        <v>1553</v>
      </c>
      <c r="C108" s="2">
        <f>SUMIF(SLDINI[REGISTRO],REGISTROS[[#This Row],[REGISTRO]],SLDINI[SLDINI])</f>
        <v>0</v>
      </c>
      <c r="D108" s="2">
        <f>SUMIF(SLDFINAL[REGISTRO],REGISTROS[[#This Row],[REGISTRO]],SLDFINAL[SLDFIM])</f>
        <v>0</v>
      </c>
      <c r="E108" s="2">
        <f>SUMIF(producoes[REGISTRO],REGISTROS[[#This Row],[REGISTRO]],producoes[PRODUZIDO])</f>
        <v>0</v>
      </c>
      <c r="F108" s="2">
        <f>SUMIF(VendasPr[REGISTRO],REGISTROS[[#This Row],[REGISTRO]],VendasPr[VENDAS])</f>
        <v>0</v>
      </c>
      <c r="G108" s="2">
        <f>SUMIF(VendasEx[REGISTRO],REGISTROS[[#This Row],[REGISTRO]],VendasEx[VENDAS])</f>
        <v>0</v>
      </c>
      <c r="H108" s="2">
        <f>SUMIF(VENDASUFS[REGISTRO],REGISTROS[[#This Row],[REGISTRO]],VENDASUFS[VENDAS])</f>
        <v>0</v>
      </c>
      <c r="I108" s="3">
        <f>SUMIF(DEVPR[REGISTRO],REGISTROS[[#This Row],[REGISTRO]],DEVPR[VENDAS])</f>
        <v>0</v>
      </c>
      <c r="J108" s="3">
        <f>SUMIF(DEVEX[REGISTRO],REGISTROS[[#This Row],[REGISTRO]],DEVEX[VENDAS])</f>
        <v>0</v>
      </c>
      <c r="K108" s="3">
        <f>SUMIF(devufs[REGISTRO],REGISTROS[[#This Row],[REGISTRO]],devufs[VENDAS])</f>
        <v>0</v>
      </c>
    </row>
    <row r="109" spans="2:11" x14ac:dyDescent="0.25">
      <c r="B109" t="s">
        <v>137</v>
      </c>
      <c r="C109" s="2">
        <f>SUMIF(SLDINI[REGISTRO],REGISTROS[[#This Row],[REGISTRO]],SLDINI[SLDINI])</f>
        <v>2630</v>
      </c>
      <c r="D109" s="2">
        <f>SUMIF(SLDFINAL[REGISTRO],REGISTROS[[#This Row],[REGISTRO]],SLDFINAL[SLDFIM])</f>
        <v>2630</v>
      </c>
      <c r="E109" s="2">
        <f>SUMIF(producoes[REGISTRO],REGISTROS[[#This Row],[REGISTRO]],producoes[PRODUZIDO])</f>
        <v>0</v>
      </c>
      <c r="F109" s="2">
        <f>SUMIF(VendasPr[REGISTRO],REGISTROS[[#This Row],[REGISTRO]],VendasPr[VENDAS])</f>
        <v>0</v>
      </c>
      <c r="G109" s="2">
        <f>SUMIF(VendasEx[REGISTRO],REGISTROS[[#This Row],[REGISTRO]],VendasEx[VENDAS])</f>
        <v>0</v>
      </c>
      <c r="H109" s="2">
        <f>SUMIF(VENDASUFS[REGISTRO],REGISTROS[[#This Row],[REGISTRO]],VENDASUFS[VENDAS])</f>
        <v>0</v>
      </c>
      <c r="I109" s="3">
        <f>SUMIF(DEVPR[REGISTRO],REGISTROS[[#This Row],[REGISTRO]],DEVPR[VENDAS])</f>
        <v>0</v>
      </c>
      <c r="J109" s="3">
        <f>SUMIF(DEVEX[REGISTRO],REGISTROS[[#This Row],[REGISTRO]],DEVEX[VENDAS])</f>
        <v>0</v>
      </c>
      <c r="K109" s="3">
        <f>SUMIF(devufs[REGISTRO],REGISTROS[[#This Row],[REGISTRO]],devufs[VENDAS])</f>
        <v>0</v>
      </c>
    </row>
    <row r="110" spans="2:11" x14ac:dyDescent="0.25">
      <c r="B110" t="s">
        <v>715</v>
      </c>
      <c r="C110" s="2">
        <f>SUMIF(SLDINI[REGISTRO],REGISTROS[[#This Row],[REGISTRO]],SLDINI[SLDINI])</f>
        <v>45</v>
      </c>
      <c r="D110" s="2">
        <f>SUMIF(SLDFINAL[REGISTRO],REGISTROS[[#This Row],[REGISTRO]],SLDFINAL[SLDFIM])</f>
        <v>1725</v>
      </c>
      <c r="E110" s="2">
        <f>SUMIF(producoes[REGISTRO],REGISTROS[[#This Row],[REGISTRO]],producoes[PRODUZIDO])</f>
        <v>0</v>
      </c>
      <c r="F110" s="2">
        <f>SUMIF(VendasPr[REGISTRO],REGISTROS[[#This Row],[REGISTRO]],VendasPr[VENDAS])</f>
        <v>19455</v>
      </c>
      <c r="G110" s="2">
        <f>SUMIF(VendasEx[REGISTRO],REGISTROS[[#This Row],[REGISTRO]],VendasEx[VENDAS])</f>
        <v>0</v>
      </c>
      <c r="H110" s="2">
        <f>SUMIF(VENDASUFS[REGISTRO],REGISTROS[[#This Row],[REGISTRO]],VENDASUFS[VENDAS])</f>
        <v>28605</v>
      </c>
      <c r="I110" s="3">
        <f>SUMIF(DEVPR[REGISTRO],REGISTROS[[#This Row],[REGISTRO]],DEVPR[VENDAS])</f>
        <v>0</v>
      </c>
      <c r="J110" s="3">
        <f>SUMIF(DEVEX[REGISTRO],REGISTROS[[#This Row],[REGISTRO]],DEVEX[VENDAS])</f>
        <v>0</v>
      </c>
      <c r="K110" s="3">
        <f>SUMIF(devufs[REGISTRO],REGISTROS[[#This Row],[REGISTRO]],devufs[VENDAS])</f>
        <v>3060</v>
      </c>
    </row>
    <row r="111" spans="2:11" x14ac:dyDescent="0.25">
      <c r="B111" t="s">
        <v>559</v>
      </c>
      <c r="C111" s="2">
        <f>SUMIF(SLDINI[REGISTRO],REGISTROS[[#This Row],[REGISTRO]],SLDINI[SLDINI])</f>
        <v>0</v>
      </c>
      <c r="D111" s="2">
        <f>SUMIF(SLDFINAL[REGISTRO],REGISTROS[[#This Row],[REGISTRO]],SLDFINAL[SLDFIM])</f>
        <v>0</v>
      </c>
      <c r="E111" s="2">
        <f>SUMIF(producoes[REGISTRO],REGISTROS[[#This Row],[REGISTRO]],producoes[PRODUZIDO])</f>
        <v>0</v>
      </c>
      <c r="F111" s="2">
        <f>SUMIF(VendasPr[REGISTRO],REGISTROS[[#This Row],[REGISTRO]],VendasPr[VENDAS])</f>
        <v>0</v>
      </c>
      <c r="G111" s="2">
        <f>SUMIF(VendasEx[REGISTRO],REGISTROS[[#This Row],[REGISTRO]],VendasEx[VENDAS])</f>
        <v>0</v>
      </c>
      <c r="H111" s="2">
        <f>SUMIF(VENDASUFS[REGISTRO],REGISTROS[[#This Row],[REGISTRO]],VENDASUFS[VENDAS])</f>
        <v>0</v>
      </c>
      <c r="I111" s="3">
        <f>SUMIF(DEVPR[REGISTRO],REGISTROS[[#This Row],[REGISTRO]],DEVPR[VENDAS])</f>
        <v>0</v>
      </c>
      <c r="J111" s="3">
        <f>SUMIF(DEVEX[REGISTRO],REGISTROS[[#This Row],[REGISTRO]],DEVEX[VENDAS])</f>
        <v>0</v>
      </c>
      <c r="K111" s="3">
        <f>SUMIF(devufs[REGISTRO],REGISTROS[[#This Row],[REGISTRO]],devufs[VENDAS])</f>
        <v>0</v>
      </c>
    </row>
    <row r="112" spans="2:11" x14ac:dyDescent="0.25">
      <c r="B112" t="s">
        <v>1428</v>
      </c>
      <c r="C112" s="2">
        <f>SUMIF(SLDINI[REGISTRO],REGISTROS[[#This Row],[REGISTRO]],SLDINI[SLDINI])</f>
        <v>0</v>
      </c>
      <c r="D112" s="2">
        <f>SUMIF(SLDFINAL[REGISTRO],REGISTROS[[#This Row],[REGISTRO]],SLDFINAL[SLDFIM])</f>
        <v>0</v>
      </c>
      <c r="E112" s="2">
        <f>SUMIF(producoes[REGISTRO],REGISTROS[[#This Row],[REGISTRO]],producoes[PRODUZIDO])</f>
        <v>0</v>
      </c>
      <c r="F112" s="2">
        <f>SUMIF(VendasPr[REGISTRO],REGISTROS[[#This Row],[REGISTRO]],VendasPr[VENDAS])</f>
        <v>0</v>
      </c>
      <c r="G112" s="2">
        <f>SUMIF(VendasEx[REGISTRO],REGISTROS[[#This Row],[REGISTRO]],VendasEx[VENDAS])</f>
        <v>0</v>
      </c>
      <c r="H112" s="2">
        <f>SUMIF(VENDASUFS[REGISTRO],REGISTROS[[#This Row],[REGISTRO]],VENDASUFS[VENDAS])</f>
        <v>0</v>
      </c>
      <c r="I112" s="3">
        <f>SUMIF(DEVPR[REGISTRO],REGISTROS[[#This Row],[REGISTRO]],DEVPR[VENDAS])</f>
        <v>0</v>
      </c>
      <c r="J112" s="3">
        <f>SUMIF(DEVEX[REGISTRO],REGISTROS[[#This Row],[REGISTRO]],DEVEX[VENDAS])</f>
        <v>0</v>
      </c>
      <c r="K112" s="3">
        <f>SUMIF(devufs[REGISTRO],REGISTROS[[#This Row],[REGISTRO]],devufs[VENDAS])</f>
        <v>0</v>
      </c>
    </row>
    <row r="116" spans="8:8" x14ac:dyDescent="0.25">
      <c r="H116" s="4"/>
    </row>
    <row r="117" spans="8:8" x14ac:dyDescent="0.25">
      <c r="H117" s="4"/>
    </row>
    <row r="118" spans="8:8" x14ac:dyDescent="0.25">
      <c r="H118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37"/>
  <sheetViews>
    <sheetView workbookViewId="0">
      <selection activeCell="D12" sqref="D12"/>
    </sheetView>
  </sheetViews>
  <sheetFormatPr defaultRowHeight="15" x14ac:dyDescent="0.25"/>
  <cols>
    <col min="2" max="2" width="16.7109375" bestFit="1" customWidth="1"/>
    <col min="3" max="3" width="14.5703125" bestFit="1" customWidth="1"/>
    <col min="4" max="4" width="32.85546875" bestFit="1" customWidth="1"/>
    <col min="5" max="5" width="9" bestFit="1" customWidth="1"/>
  </cols>
  <sheetData>
    <row r="2" spans="2:5" x14ac:dyDescent="0.25">
      <c r="B2" t="s">
        <v>4</v>
      </c>
      <c r="C2" t="s">
        <v>5</v>
      </c>
      <c r="D2" t="s">
        <v>6</v>
      </c>
      <c r="E2" t="s">
        <v>7</v>
      </c>
    </row>
    <row r="3" spans="2:5" x14ac:dyDescent="0.25">
      <c r="B3" t="s">
        <v>8</v>
      </c>
      <c r="C3" t="s">
        <v>453</v>
      </c>
      <c r="D3" t="s">
        <v>454</v>
      </c>
      <c r="E3">
        <v>0</v>
      </c>
    </row>
    <row r="4" spans="2:5" x14ac:dyDescent="0.25">
      <c r="B4" t="s">
        <v>17</v>
      </c>
      <c r="C4" t="s">
        <v>455</v>
      </c>
      <c r="D4" t="s">
        <v>456</v>
      </c>
      <c r="E4">
        <v>2</v>
      </c>
    </row>
    <row r="5" spans="2:5" x14ac:dyDescent="0.25">
      <c r="B5" t="s">
        <v>20</v>
      </c>
      <c r="C5" t="s">
        <v>457</v>
      </c>
      <c r="D5" t="s">
        <v>458</v>
      </c>
      <c r="E5">
        <v>5</v>
      </c>
    </row>
    <row r="6" spans="2:5" x14ac:dyDescent="0.25">
      <c r="B6" t="s">
        <v>20</v>
      </c>
      <c r="C6" t="s">
        <v>459</v>
      </c>
      <c r="D6" t="s">
        <v>460</v>
      </c>
      <c r="E6">
        <v>0</v>
      </c>
    </row>
    <row r="7" spans="2:5" x14ac:dyDescent="0.25">
      <c r="B7" t="s">
        <v>20</v>
      </c>
      <c r="C7" t="s">
        <v>459</v>
      </c>
      <c r="D7" t="s">
        <v>460</v>
      </c>
      <c r="E7">
        <v>0</v>
      </c>
    </row>
    <row r="8" spans="2:5" x14ac:dyDescent="0.25">
      <c r="B8" t="s">
        <v>461</v>
      </c>
      <c r="C8" t="s">
        <v>462</v>
      </c>
      <c r="D8" t="s">
        <v>463</v>
      </c>
      <c r="E8">
        <v>94</v>
      </c>
    </row>
    <row r="9" spans="2:5" x14ac:dyDescent="0.25">
      <c r="B9" t="s">
        <v>11</v>
      </c>
      <c r="C9" t="s">
        <v>464</v>
      </c>
      <c r="D9" t="s">
        <v>465</v>
      </c>
      <c r="E9">
        <v>0</v>
      </c>
    </row>
    <row r="10" spans="2:5" x14ac:dyDescent="0.25">
      <c r="B10" t="s">
        <v>67</v>
      </c>
      <c r="C10" t="s">
        <v>466</v>
      </c>
      <c r="D10" t="s">
        <v>467</v>
      </c>
      <c r="E10">
        <v>0</v>
      </c>
    </row>
    <row r="11" spans="2:5" x14ac:dyDescent="0.25">
      <c r="B11" t="s">
        <v>343</v>
      </c>
      <c r="C11" t="s">
        <v>468</v>
      </c>
      <c r="D11" t="s">
        <v>469</v>
      </c>
      <c r="E11">
        <v>0</v>
      </c>
    </row>
    <row r="12" spans="2:5" x14ac:dyDescent="0.25">
      <c r="B12" t="s">
        <v>25</v>
      </c>
      <c r="C12" t="s">
        <v>470</v>
      </c>
      <c r="D12" t="s">
        <v>471</v>
      </c>
      <c r="E12">
        <v>758</v>
      </c>
    </row>
    <row r="13" spans="2:5" x14ac:dyDescent="0.25">
      <c r="B13" t="s">
        <v>25</v>
      </c>
      <c r="C13" t="s">
        <v>470</v>
      </c>
      <c r="D13" t="s">
        <v>471</v>
      </c>
      <c r="E13">
        <v>3</v>
      </c>
    </row>
    <row r="14" spans="2:5" x14ac:dyDescent="0.25">
      <c r="B14" t="s">
        <v>25</v>
      </c>
      <c r="C14" t="s">
        <v>472</v>
      </c>
      <c r="D14" t="s">
        <v>473</v>
      </c>
      <c r="E14">
        <v>0</v>
      </c>
    </row>
    <row r="15" spans="2:5" x14ac:dyDescent="0.25">
      <c r="B15" t="s">
        <v>40</v>
      </c>
      <c r="C15" t="s">
        <v>474</v>
      </c>
      <c r="D15" t="s">
        <v>475</v>
      </c>
      <c r="E15">
        <v>410</v>
      </c>
    </row>
    <row r="16" spans="2:5" x14ac:dyDescent="0.25">
      <c r="B16" t="s">
        <v>261</v>
      </c>
      <c r="C16" t="s">
        <v>476</v>
      </c>
      <c r="D16" t="s">
        <v>477</v>
      </c>
      <c r="E16">
        <v>0</v>
      </c>
    </row>
    <row r="17" spans="2:5" x14ac:dyDescent="0.25">
      <c r="B17" t="s">
        <v>261</v>
      </c>
      <c r="C17" t="s">
        <v>476</v>
      </c>
      <c r="D17" t="s">
        <v>477</v>
      </c>
      <c r="E17">
        <v>0</v>
      </c>
    </row>
    <row r="18" spans="2:5" x14ac:dyDescent="0.25">
      <c r="B18" t="s">
        <v>14</v>
      </c>
      <c r="C18" t="s">
        <v>478</v>
      </c>
      <c r="D18" t="s">
        <v>479</v>
      </c>
      <c r="E18">
        <v>7300</v>
      </c>
    </row>
    <row r="19" spans="2:5" x14ac:dyDescent="0.25">
      <c r="B19" t="s">
        <v>14</v>
      </c>
      <c r="C19" t="s">
        <v>480</v>
      </c>
      <c r="D19" t="s">
        <v>481</v>
      </c>
      <c r="E19">
        <v>0</v>
      </c>
    </row>
    <row r="20" spans="2:5" x14ac:dyDescent="0.25">
      <c r="B20" t="s">
        <v>14</v>
      </c>
      <c r="C20" t="s">
        <v>482</v>
      </c>
      <c r="D20" t="s">
        <v>483</v>
      </c>
      <c r="E20">
        <v>69</v>
      </c>
    </row>
    <row r="21" spans="2:5" x14ac:dyDescent="0.25">
      <c r="B21" t="s">
        <v>14</v>
      </c>
      <c r="C21" t="s">
        <v>484</v>
      </c>
      <c r="D21" t="s">
        <v>485</v>
      </c>
      <c r="E21">
        <v>0</v>
      </c>
    </row>
    <row r="22" spans="2:5" x14ac:dyDescent="0.25">
      <c r="B22" t="s">
        <v>14</v>
      </c>
      <c r="C22" t="s">
        <v>486</v>
      </c>
      <c r="D22" t="s">
        <v>487</v>
      </c>
      <c r="E22">
        <v>0</v>
      </c>
    </row>
    <row r="23" spans="2:5" x14ac:dyDescent="0.25">
      <c r="B23" t="s">
        <v>49</v>
      </c>
      <c r="C23" t="s">
        <v>488</v>
      </c>
      <c r="D23" t="s">
        <v>489</v>
      </c>
      <c r="E23">
        <v>0</v>
      </c>
    </row>
    <row r="24" spans="2:5" x14ac:dyDescent="0.25">
      <c r="B24" t="s">
        <v>145</v>
      </c>
      <c r="C24" t="s">
        <v>490</v>
      </c>
      <c r="D24" t="s">
        <v>491</v>
      </c>
      <c r="E24">
        <v>0</v>
      </c>
    </row>
    <row r="25" spans="2:5" x14ac:dyDescent="0.25">
      <c r="B25" t="s">
        <v>55</v>
      </c>
      <c r="C25" t="s">
        <v>492</v>
      </c>
      <c r="D25" t="s">
        <v>493</v>
      </c>
      <c r="E25">
        <v>94</v>
      </c>
    </row>
    <row r="26" spans="2:5" x14ac:dyDescent="0.25">
      <c r="B26" t="s">
        <v>55</v>
      </c>
      <c r="C26" t="s">
        <v>492</v>
      </c>
      <c r="D26" t="s">
        <v>493</v>
      </c>
      <c r="E26">
        <v>0</v>
      </c>
    </row>
    <row r="27" spans="2:5" x14ac:dyDescent="0.25">
      <c r="B27" t="s">
        <v>61</v>
      </c>
      <c r="C27" t="s">
        <v>494</v>
      </c>
      <c r="D27" t="s">
        <v>495</v>
      </c>
      <c r="E27">
        <v>0</v>
      </c>
    </row>
    <row r="28" spans="2:5" x14ac:dyDescent="0.25">
      <c r="B28" t="s">
        <v>496</v>
      </c>
      <c r="C28" t="s">
        <v>497</v>
      </c>
      <c r="D28" t="s">
        <v>498</v>
      </c>
      <c r="E28">
        <v>0</v>
      </c>
    </row>
    <row r="29" spans="2:5" x14ac:dyDescent="0.25">
      <c r="B29" t="s">
        <v>64</v>
      </c>
      <c r="C29" t="s">
        <v>499</v>
      </c>
      <c r="D29" t="s">
        <v>500</v>
      </c>
      <c r="E29">
        <v>0</v>
      </c>
    </row>
    <row r="30" spans="2:5" x14ac:dyDescent="0.25">
      <c r="B30" t="s">
        <v>195</v>
      </c>
      <c r="C30" t="s">
        <v>501</v>
      </c>
      <c r="D30" t="s">
        <v>502</v>
      </c>
      <c r="E30">
        <v>0</v>
      </c>
    </row>
    <row r="31" spans="2:5" x14ac:dyDescent="0.25">
      <c r="B31" t="s">
        <v>195</v>
      </c>
      <c r="C31" t="s">
        <v>503</v>
      </c>
      <c r="D31" t="s">
        <v>504</v>
      </c>
      <c r="E31">
        <v>0</v>
      </c>
    </row>
    <row r="32" spans="2:5" x14ac:dyDescent="0.25">
      <c r="B32" t="s">
        <v>505</v>
      </c>
      <c r="C32" t="s">
        <v>506</v>
      </c>
      <c r="D32" t="s">
        <v>507</v>
      </c>
      <c r="E32">
        <v>0</v>
      </c>
    </row>
    <row r="33" spans="2:5" x14ac:dyDescent="0.25">
      <c r="B33" t="s">
        <v>73</v>
      </c>
      <c r="C33" t="s">
        <v>508</v>
      </c>
      <c r="D33" t="s">
        <v>509</v>
      </c>
      <c r="E33">
        <v>0</v>
      </c>
    </row>
    <row r="34" spans="2:5" x14ac:dyDescent="0.25">
      <c r="B34" t="s">
        <v>73</v>
      </c>
      <c r="C34" t="s">
        <v>510</v>
      </c>
      <c r="D34" t="s">
        <v>511</v>
      </c>
      <c r="E34">
        <v>0</v>
      </c>
    </row>
    <row r="35" spans="2:5" x14ac:dyDescent="0.25">
      <c r="B35" t="s">
        <v>11</v>
      </c>
      <c r="C35" t="s">
        <v>512</v>
      </c>
      <c r="D35" t="s">
        <v>513</v>
      </c>
      <c r="E35">
        <v>0</v>
      </c>
    </row>
    <row r="36" spans="2:5" x14ac:dyDescent="0.25">
      <c r="B36" t="s">
        <v>11</v>
      </c>
      <c r="C36" t="s">
        <v>514</v>
      </c>
      <c r="D36" t="s">
        <v>515</v>
      </c>
      <c r="E36">
        <v>0</v>
      </c>
    </row>
    <row r="37" spans="2:5" x14ac:dyDescent="0.25">
      <c r="B37" t="s">
        <v>86</v>
      </c>
      <c r="C37" t="s">
        <v>516</v>
      </c>
      <c r="D37" t="s">
        <v>517</v>
      </c>
      <c r="E37">
        <v>0</v>
      </c>
    </row>
    <row r="38" spans="2:5" x14ac:dyDescent="0.25">
      <c r="B38" t="s">
        <v>518</v>
      </c>
      <c r="C38" t="s">
        <v>519</v>
      </c>
      <c r="D38" t="s">
        <v>520</v>
      </c>
      <c r="E38">
        <v>297</v>
      </c>
    </row>
    <row r="39" spans="2:5" x14ac:dyDescent="0.25">
      <c r="B39" t="s">
        <v>521</v>
      </c>
      <c r="C39" t="s">
        <v>522</v>
      </c>
      <c r="D39" t="s">
        <v>523</v>
      </c>
      <c r="E39">
        <v>0</v>
      </c>
    </row>
    <row r="40" spans="2:5" x14ac:dyDescent="0.25">
      <c r="B40" t="s">
        <v>203</v>
      </c>
      <c r="C40" t="s">
        <v>524</v>
      </c>
      <c r="D40" t="s">
        <v>525</v>
      </c>
      <c r="E40">
        <v>0</v>
      </c>
    </row>
    <row r="41" spans="2:5" x14ac:dyDescent="0.25">
      <c r="B41" t="s">
        <v>161</v>
      </c>
      <c r="C41" t="s">
        <v>526</v>
      </c>
      <c r="D41" t="s">
        <v>527</v>
      </c>
      <c r="E41">
        <v>0</v>
      </c>
    </row>
    <row r="42" spans="2:5" x14ac:dyDescent="0.25">
      <c r="B42" t="s">
        <v>206</v>
      </c>
      <c r="C42" t="s">
        <v>528</v>
      </c>
      <c r="D42" t="s">
        <v>529</v>
      </c>
      <c r="E42">
        <v>0</v>
      </c>
    </row>
    <row r="43" spans="2:5" x14ac:dyDescent="0.25">
      <c r="B43" t="s">
        <v>91</v>
      </c>
      <c r="C43" t="s">
        <v>530</v>
      </c>
      <c r="D43" t="s">
        <v>531</v>
      </c>
      <c r="E43">
        <v>0</v>
      </c>
    </row>
    <row r="44" spans="2:5" x14ac:dyDescent="0.25">
      <c r="B44" t="s">
        <v>20</v>
      </c>
      <c r="C44" t="s">
        <v>532</v>
      </c>
      <c r="D44" t="s">
        <v>533</v>
      </c>
      <c r="E44">
        <v>0</v>
      </c>
    </row>
    <row r="45" spans="2:5" x14ac:dyDescent="0.25">
      <c r="B45" t="s">
        <v>40</v>
      </c>
      <c r="C45" t="s">
        <v>534</v>
      </c>
      <c r="D45" t="s">
        <v>535</v>
      </c>
      <c r="E45">
        <v>0</v>
      </c>
    </row>
    <row r="46" spans="2:5" x14ac:dyDescent="0.25">
      <c r="B46" t="s">
        <v>14</v>
      </c>
      <c r="C46" t="s">
        <v>536</v>
      </c>
      <c r="D46" t="s">
        <v>537</v>
      </c>
      <c r="E46">
        <v>0</v>
      </c>
    </row>
    <row r="47" spans="2:5" x14ac:dyDescent="0.25">
      <c r="B47" t="s">
        <v>164</v>
      </c>
      <c r="C47" t="s">
        <v>538</v>
      </c>
      <c r="D47" t="s">
        <v>539</v>
      </c>
      <c r="E47">
        <v>0</v>
      </c>
    </row>
    <row r="48" spans="2:5" x14ac:dyDescent="0.25">
      <c r="B48" t="s">
        <v>120</v>
      </c>
      <c r="C48" t="s">
        <v>540</v>
      </c>
      <c r="D48" t="s">
        <v>541</v>
      </c>
      <c r="E48">
        <v>52060</v>
      </c>
    </row>
    <row r="49" spans="2:5" x14ac:dyDescent="0.25">
      <c r="B49" t="s">
        <v>17</v>
      </c>
      <c r="C49" t="s">
        <v>455</v>
      </c>
      <c r="D49" t="s">
        <v>456</v>
      </c>
      <c r="E49">
        <v>21</v>
      </c>
    </row>
    <row r="50" spans="2:5" x14ac:dyDescent="0.25">
      <c r="B50" t="s">
        <v>352</v>
      </c>
      <c r="C50" t="s">
        <v>542</v>
      </c>
      <c r="D50" t="s">
        <v>543</v>
      </c>
      <c r="E50">
        <v>0</v>
      </c>
    </row>
    <row r="51" spans="2:5" x14ac:dyDescent="0.25">
      <c r="B51" t="s">
        <v>14</v>
      </c>
      <c r="C51" t="s">
        <v>486</v>
      </c>
      <c r="D51" t="s">
        <v>487</v>
      </c>
      <c r="E51">
        <v>0</v>
      </c>
    </row>
    <row r="52" spans="2:5" x14ac:dyDescent="0.25">
      <c r="B52" t="s">
        <v>148</v>
      </c>
      <c r="C52" t="s">
        <v>544</v>
      </c>
      <c r="D52" t="s">
        <v>545</v>
      </c>
      <c r="E52">
        <v>9760</v>
      </c>
    </row>
    <row r="53" spans="2:5" x14ac:dyDescent="0.25">
      <c r="B53" t="s">
        <v>546</v>
      </c>
      <c r="C53" t="s">
        <v>547</v>
      </c>
      <c r="D53" t="s">
        <v>548</v>
      </c>
      <c r="E53">
        <v>700</v>
      </c>
    </row>
    <row r="54" spans="2:5" x14ac:dyDescent="0.25">
      <c r="B54" t="s">
        <v>114</v>
      </c>
      <c r="C54" t="s">
        <v>549</v>
      </c>
      <c r="D54" t="s">
        <v>550</v>
      </c>
      <c r="E54">
        <v>7080</v>
      </c>
    </row>
    <row r="55" spans="2:5" x14ac:dyDescent="0.25">
      <c r="B55" t="s">
        <v>551</v>
      </c>
      <c r="C55" t="s">
        <v>552</v>
      </c>
      <c r="D55" t="s">
        <v>553</v>
      </c>
      <c r="E55">
        <v>0</v>
      </c>
    </row>
    <row r="56" spans="2:5" x14ac:dyDescent="0.25">
      <c r="B56" t="s">
        <v>554</v>
      </c>
      <c r="C56" t="s">
        <v>555</v>
      </c>
      <c r="D56" t="s">
        <v>556</v>
      </c>
      <c r="E56">
        <v>0</v>
      </c>
    </row>
    <row r="57" spans="2:5" x14ac:dyDescent="0.25">
      <c r="B57" t="s">
        <v>134</v>
      </c>
      <c r="C57" t="s">
        <v>557</v>
      </c>
      <c r="D57" t="s">
        <v>558</v>
      </c>
      <c r="E57">
        <v>70</v>
      </c>
    </row>
    <row r="58" spans="2:5" x14ac:dyDescent="0.25">
      <c r="B58" t="s">
        <v>559</v>
      </c>
      <c r="C58" t="s">
        <v>560</v>
      </c>
      <c r="D58" t="s">
        <v>561</v>
      </c>
      <c r="E58">
        <v>0</v>
      </c>
    </row>
    <row r="59" spans="2:5" x14ac:dyDescent="0.25">
      <c r="B59" t="s">
        <v>114</v>
      </c>
      <c r="C59" t="s">
        <v>549</v>
      </c>
      <c r="D59" t="s">
        <v>550</v>
      </c>
      <c r="E59">
        <v>0</v>
      </c>
    </row>
    <row r="60" spans="2:5" x14ac:dyDescent="0.25">
      <c r="B60" t="s">
        <v>61</v>
      </c>
      <c r="C60" t="s">
        <v>562</v>
      </c>
      <c r="D60" t="s">
        <v>563</v>
      </c>
      <c r="E60">
        <v>0</v>
      </c>
    </row>
    <row r="61" spans="2:5" x14ac:dyDescent="0.25">
      <c r="B61" t="s">
        <v>352</v>
      </c>
      <c r="C61" t="s">
        <v>564</v>
      </c>
      <c r="D61" t="s">
        <v>565</v>
      </c>
      <c r="E61">
        <v>0</v>
      </c>
    </row>
    <row r="62" spans="2:5" x14ac:dyDescent="0.25">
      <c r="B62" t="s">
        <v>64</v>
      </c>
      <c r="C62" t="s">
        <v>566</v>
      </c>
      <c r="D62" t="s">
        <v>567</v>
      </c>
      <c r="E62">
        <v>0</v>
      </c>
    </row>
    <row r="63" spans="2:5" x14ac:dyDescent="0.25">
      <c r="B63" t="s">
        <v>151</v>
      </c>
      <c r="C63" t="s">
        <v>568</v>
      </c>
      <c r="D63" t="s">
        <v>569</v>
      </c>
      <c r="E63">
        <v>0</v>
      </c>
    </row>
    <row r="64" spans="2:5" x14ac:dyDescent="0.25">
      <c r="B64" t="s">
        <v>140</v>
      </c>
      <c r="C64" t="s">
        <v>570</v>
      </c>
      <c r="D64" t="s">
        <v>571</v>
      </c>
      <c r="E64">
        <v>0</v>
      </c>
    </row>
    <row r="65" spans="2:5" x14ac:dyDescent="0.25">
      <c r="B65" t="s">
        <v>80</v>
      </c>
      <c r="C65" t="s">
        <v>572</v>
      </c>
      <c r="D65" t="s">
        <v>573</v>
      </c>
      <c r="E65">
        <v>0</v>
      </c>
    </row>
    <row r="66" spans="2:5" x14ac:dyDescent="0.25">
      <c r="B66" t="s">
        <v>272</v>
      </c>
      <c r="C66" t="s">
        <v>574</v>
      </c>
      <c r="D66" t="s">
        <v>575</v>
      </c>
      <c r="E66">
        <v>0</v>
      </c>
    </row>
    <row r="67" spans="2:5" x14ac:dyDescent="0.25">
      <c r="B67" t="s">
        <v>80</v>
      </c>
      <c r="C67" t="s">
        <v>572</v>
      </c>
      <c r="D67" t="s">
        <v>573</v>
      </c>
      <c r="E67">
        <v>0</v>
      </c>
    </row>
    <row r="68" spans="2:5" x14ac:dyDescent="0.25">
      <c r="B68" t="s">
        <v>156</v>
      </c>
      <c r="C68" t="s">
        <v>576</v>
      </c>
      <c r="D68" t="s">
        <v>577</v>
      </c>
      <c r="E68">
        <v>5450</v>
      </c>
    </row>
    <row r="69" spans="2:5" x14ac:dyDescent="0.25">
      <c r="B69" t="s">
        <v>272</v>
      </c>
      <c r="C69" t="s">
        <v>1342</v>
      </c>
      <c r="D69" t="s">
        <v>1343</v>
      </c>
      <c r="E69">
        <v>40</v>
      </c>
    </row>
    <row r="70" spans="2:5" x14ac:dyDescent="0.25">
      <c r="B70" t="s">
        <v>272</v>
      </c>
      <c r="C70" t="s">
        <v>574</v>
      </c>
      <c r="D70" t="s">
        <v>575</v>
      </c>
      <c r="E70">
        <v>0</v>
      </c>
    </row>
    <row r="71" spans="2:5" x14ac:dyDescent="0.25">
      <c r="B71" t="s">
        <v>554</v>
      </c>
      <c r="C71" t="s">
        <v>555</v>
      </c>
      <c r="D71" t="s">
        <v>556</v>
      </c>
      <c r="E71">
        <v>0</v>
      </c>
    </row>
    <row r="72" spans="2:5" x14ac:dyDescent="0.25">
      <c r="B72" t="s">
        <v>1020</v>
      </c>
      <c r="C72" t="s">
        <v>1021</v>
      </c>
      <c r="D72" t="s">
        <v>1022</v>
      </c>
      <c r="E72">
        <v>0</v>
      </c>
    </row>
    <row r="73" spans="2:5" x14ac:dyDescent="0.25">
      <c r="B73" t="s">
        <v>148</v>
      </c>
      <c r="C73" t="s">
        <v>1344</v>
      </c>
      <c r="D73" t="s">
        <v>1345</v>
      </c>
      <c r="E73">
        <v>80</v>
      </c>
    </row>
    <row r="74" spans="2:5" x14ac:dyDescent="0.25">
      <c r="B74" t="s">
        <v>1313</v>
      </c>
      <c r="C74" t="s">
        <v>1318</v>
      </c>
      <c r="D74" t="s">
        <v>1319</v>
      </c>
      <c r="E74">
        <v>0</v>
      </c>
    </row>
    <row r="75" spans="2:5" x14ac:dyDescent="0.25">
      <c r="B75" t="s">
        <v>352</v>
      </c>
      <c r="C75" t="s">
        <v>1320</v>
      </c>
      <c r="D75" t="s">
        <v>1321</v>
      </c>
      <c r="E75">
        <v>0</v>
      </c>
    </row>
    <row r="76" spans="2:5" x14ac:dyDescent="0.25">
      <c r="B76" t="s">
        <v>148</v>
      </c>
      <c r="C76" t="s">
        <v>1346</v>
      </c>
      <c r="D76" t="s">
        <v>1347</v>
      </c>
      <c r="E76">
        <v>105</v>
      </c>
    </row>
    <row r="77" spans="2:5" x14ac:dyDescent="0.25">
      <c r="B77" t="s">
        <v>559</v>
      </c>
      <c r="C77" t="s">
        <v>560</v>
      </c>
      <c r="D77" t="s">
        <v>561</v>
      </c>
      <c r="E77">
        <v>0</v>
      </c>
    </row>
    <row r="78" spans="2:5" x14ac:dyDescent="0.25">
      <c r="B78" t="s">
        <v>140</v>
      </c>
      <c r="C78" t="s">
        <v>1348</v>
      </c>
      <c r="D78" t="s">
        <v>1349</v>
      </c>
      <c r="E78">
        <v>0</v>
      </c>
    </row>
    <row r="79" spans="2:5" x14ac:dyDescent="0.25">
      <c r="B79" t="s">
        <v>1154</v>
      </c>
      <c r="C79" t="s">
        <v>1350</v>
      </c>
      <c r="D79" t="s">
        <v>1351</v>
      </c>
      <c r="E79">
        <v>0</v>
      </c>
    </row>
    <row r="80" spans="2:5" x14ac:dyDescent="0.25">
      <c r="B80" t="s">
        <v>145</v>
      </c>
      <c r="C80" t="s">
        <v>1352</v>
      </c>
      <c r="D80" t="s">
        <v>1353</v>
      </c>
      <c r="E80">
        <v>0</v>
      </c>
    </row>
    <row r="81" spans="2:5" x14ac:dyDescent="0.25">
      <c r="B81" t="s">
        <v>61</v>
      </c>
      <c r="C81" t="s">
        <v>1354</v>
      </c>
      <c r="D81" t="s">
        <v>1355</v>
      </c>
      <c r="E81">
        <v>0</v>
      </c>
    </row>
    <row r="82" spans="2:5" x14ac:dyDescent="0.25">
      <c r="B82" t="s">
        <v>217</v>
      </c>
      <c r="C82" t="s">
        <v>1356</v>
      </c>
      <c r="D82" t="s">
        <v>1357</v>
      </c>
      <c r="E82">
        <v>0</v>
      </c>
    </row>
    <row r="83" spans="2:5" x14ac:dyDescent="0.25">
      <c r="B83" t="s">
        <v>195</v>
      </c>
      <c r="C83" t="s">
        <v>1358</v>
      </c>
      <c r="D83" t="s">
        <v>1359</v>
      </c>
      <c r="E83">
        <v>0</v>
      </c>
    </row>
    <row r="84" spans="2:5" x14ac:dyDescent="0.25">
      <c r="B84" t="s">
        <v>148</v>
      </c>
      <c r="C84" t="s">
        <v>544</v>
      </c>
      <c r="D84" t="s">
        <v>545</v>
      </c>
      <c r="E84">
        <v>0</v>
      </c>
    </row>
    <row r="85" spans="2:5" x14ac:dyDescent="0.25">
      <c r="B85" t="s">
        <v>705</v>
      </c>
      <c r="C85" t="s">
        <v>1360</v>
      </c>
      <c r="D85" t="s">
        <v>1361</v>
      </c>
      <c r="E85">
        <v>50</v>
      </c>
    </row>
    <row r="86" spans="2:5" x14ac:dyDescent="0.25">
      <c r="B86" t="s">
        <v>554</v>
      </c>
      <c r="C86" t="s">
        <v>555</v>
      </c>
      <c r="D86" t="s">
        <v>556</v>
      </c>
      <c r="E86">
        <v>0</v>
      </c>
    </row>
    <row r="87" spans="2:5" x14ac:dyDescent="0.25">
      <c r="B87" t="s">
        <v>73</v>
      </c>
      <c r="C87" t="s">
        <v>1455</v>
      </c>
      <c r="D87" t="s">
        <v>1456</v>
      </c>
      <c r="E87">
        <v>0</v>
      </c>
    </row>
    <row r="88" spans="2:5" x14ac:dyDescent="0.25">
      <c r="B88" t="s">
        <v>8</v>
      </c>
      <c r="C88" t="s">
        <v>9</v>
      </c>
      <c r="D88" t="s">
        <v>10</v>
      </c>
      <c r="E88">
        <v>200</v>
      </c>
    </row>
    <row r="89" spans="2:5" x14ac:dyDescent="0.25">
      <c r="B89" t="s">
        <v>8</v>
      </c>
      <c r="C89" t="s">
        <v>9</v>
      </c>
      <c r="D89" t="s">
        <v>10</v>
      </c>
      <c r="E89">
        <v>0</v>
      </c>
    </row>
    <row r="90" spans="2:5" x14ac:dyDescent="0.25">
      <c r="B90" t="s">
        <v>11</v>
      </c>
      <c r="C90" t="s">
        <v>12</v>
      </c>
      <c r="D90" t="s">
        <v>13</v>
      </c>
      <c r="E90">
        <v>0</v>
      </c>
    </row>
    <row r="91" spans="2:5" x14ac:dyDescent="0.25">
      <c r="B91" t="s">
        <v>14</v>
      </c>
      <c r="C91" t="s">
        <v>15</v>
      </c>
      <c r="D91" t="s">
        <v>16</v>
      </c>
      <c r="E91">
        <v>0</v>
      </c>
    </row>
    <row r="92" spans="2:5" x14ac:dyDescent="0.25">
      <c r="B92" t="s">
        <v>17</v>
      </c>
      <c r="C92" t="s">
        <v>18</v>
      </c>
      <c r="D92" t="s">
        <v>19</v>
      </c>
      <c r="E92">
        <v>0</v>
      </c>
    </row>
    <row r="93" spans="2:5" x14ac:dyDescent="0.25">
      <c r="B93" t="s">
        <v>20</v>
      </c>
      <c r="C93" t="s">
        <v>21</v>
      </c>
      <c r="D93" t="s">
        <v>22</v>
      </c>
      <c r="E93">
        <v>100</v>
      </c>
    </row>
    <row r="94" spans="2:5" x14ac:dyDescent="0.25">
      <c r="B94" t="s">
        <v>20</v>
      </c>
      <c r="C94" t="s">
        <v>21</v>
      </c>
      <c r="D94" t="s">
        <v>22</v>
      </c>
      <c r="E94">
        <v>0</v>
      </c>
    </row>
    <row r="95" spans="2:5" x14ac:dyDescent="0.25">
      <c r="B95" t="s">
        <v>20</v>
      </c>
      <c r="C95" t="s">
        <v>23</v>
      </c>
      <c r="D95" t="s">
        <v>24</v>
      </c>
      <c r="E95">
        <v>5</v>
      </c>
    </row>
    <row r="96" spans="2:5" x14ac:dyDescent="0.25">
      <c r="B96" t="s">
        <v>20</v>
      </c>
      <c r="C96" t="s">
        <v>23</v>
      </c>
      <c r="D96" t="s">
        <v>24</v>
      </c>
      <c r="E96">
        <v>0</v>
      </c>
    </row>
    <row r="97" spans="2:5" x14ac:dyDescent="0.25">
      <c r="B97" t="s">
        <v>25</v>
      </c>
      <c r="C97" t="s">
        <v>26</v>
      </c>
      <c r="D97" t="s">
        <v>27</v>
      </c>
      <c r="E97">
        <v>0</v>
      </c>
    </row>
    <row r="98" spans="2:5" x14ac:dyDescent="0.25">
      <c r="B98" t="s">
        <v>25</v>
      </c>
      <c r="C98" t="s">
        <v>26</v>
      </c>
      <c r="D98" t="s">
        <v>27</v>
      </c>
      <c r="E98">
        <v>0</v>
      </c>
    </row>
    <row r="99" spans="2:5" x14ac:dyDescent="0.25">
      <c r="B99" t="s">
        <v>28</v>
      </c>
      <c r="C99" t="s">
        <v>29</v>
      </c>
      <c r="D99" t="s">
        <v>30</v>
      </c>
      <c r="E99">
        <v>0</v>
      </c>
    </row>
    <row r="100" spans="2:5" x14ac:dyDescent="0.25">
      <c r="B100" t="s">
        <v>31</v>
      </c>
      <c r="C100" t="s">
        <v>32</v>
      </c>
      <c r="D100" t="s">
        <v>33</v>
      </c>
      <c r="E100">
        <v>0</v>
      </c>
    </row>
    <row r="101" spans="2:5" x14ac:dyDescent="0.25">
      <c r="B101" t="s">
        <v>34</v>
      </c>
      <c r="C101" t="s">
        <v>35</v>
      </c>
      <c r="D101" t="s">
        <v>36</v>
      </c>
      <c r="E101">
        <v>0</v>
      </c>
    </row>
    <row r="102" spans="2:5" x14ac:dyDescent="0.25">
      <c r="B102" t="s">
        <v>37</v>
      </c>
      <c r="C102" t="s">
        <v>38</v>
      </c>
      <c r="D102" t="s">
        <v>39</v>
      </c>
      <c r="E102">
        <v>0</v>
      </c>
    </row>
    <row r="103" spans="2:5" x14ac:dyDescent="0.25">
      <c r="B103" t="s">
        <v>40</v>
      </c>
      <c r="C103" t="s">
        <v>41</v>
      </c>
      <c r="D103" t="s">
        <v>42</v>
      </c>
      <c r="E103">
        <v>807</v>
      </c>
    </row>
    <row r="104" spans="2:5" x14ac:dyDescent="0.25">
      <c r="B104" t="s">
        <v>40</v>
      </c>
      <c r="C104" t="s">
        <v>41</v>
      </c>
      <c r="D104" t="s">
        <v>42</v>
      </c>
      <c r="E104">
        <v>0</v>
      </c>
    </row>
    <row r="105" spans="2:5" x14ac:dyDescent="0.25">
      <c r="B105" t="s">
        <v>14</v>
      </c>
      <c r="C105" t="s">
        <v>43</v>
      </c>
      <c r="D105" t="s">
        <v>44</v>
      </c>
      <c r="E105">
        <v>0</v>
      </c>
    </row>
    <row r="106" spans="2:5" x14ac:dyDescent="0.25">
      <c r="B106" t="s">
        <v>14</v>
      </c>
      <c r="C106" t="s">
        <v>45</v>
      </c>
      <c r="D106" t="s">
        <v>46</v>
      </c>
      <c r="E106">
        <v>0</v>
      </c>
    </row>
    <row r="107" spans="2:5" x14ac:dyDescent="0.25">
      <c r="B107" t="s">
        <v>14</v>
      </c>
      <c r="C107" t="s">
        <v>45</v>
      </c>
      <c r="D107" t="s">
        <v>46</v>
      </c>
      <c r="E107">
        <v>0</v>
      </c>
    </row>
    <row r="108" spans="2:5" x14ac:dyDescent="0.25">
      <c r="B108" t="s">
        <v>14</v>
      </c>
      <c r="C108" t="s">
        <v>47</v>
      </c>
      <c r="D108" t="s">
        <v>48</v>
      </c>
      <c r="E108">
        <v>0</v>
      </c>
    </row>
    <row r="109" spans="2:5" x14ac:dyDescent="0.25">
      <c r="B109" t="s">
        <v>49</v>
      </c>
      <c r="C109" t="s">
        <v>50</v>
      </c>
      <c r="D109" t="s">
        <v>51</v>
      </c>
      <c r="E109">
        <v>1120</v>
      </c>
    </row>
    <row r="110" spans="2:5" x14ac:dyDescent="0.25">
      <c r="B110" t="s">
        <v>52</v>
      </c>
      <c r="C110" t="s">
        <v>53</v>
      </c>
      <c r="D110" t="s">
        <v>54</v>
      </c>
      <c r="E110">
        <v>0</v>
      </c>
    </row>
    <row r="111" spans="2:5" x14ac:dyDescent="0.25">
      <c r="B111" t="s">
        <v>55</v>
      </c>
      <c r="C111" t="s">
        <v>56</v>
      </c>
      <c r="D111" t="s">
        <v>57</v>
      </c>
      <c r="E111">
        <v>55</v>
      </c>
    </row>
    <row r="112" spans="2:5" x14ac:dyDescent="0.25">
      <c r="B112" t="s">
        <v>55</v>
      </c>
      <c r="C112" t="s">
        <v>56</v>
      </c>
      <c r="D112" t="s">
        <v>57</v>
      </c>
      <c r="E112">
        <v>0</v>
      </c>
    </row>
    <row r="113" spans="2:5" x14ac:dyDescent="0.25">
      <c r="B113" t="s">
        <v>58</v>
      </c>
      <c r="C113" t="s">
        <v>59</v>
      </c>
      <c r="D113" t="s">
        <v>60</v>
      </c>
      <c r="E113">
        <v>0</v>
      </c>
    </row>
    <row r="114" spans="2:5" x14ac:dyDescent="0.25">
      <c r="B114" t="s">
        <v>61</v>
      </c>
      <c r="C114" t="s">
        <v>62</v>
      </c>
      <c r="D114" t="s">
        <v>63</v>
      </c>
      <c r="E114">
        <v>0</v>
      </c>
    </row>
    <row r="115" spans="2:5" x14ac:dyDescent="0.25">
      <c r="B115" t="s">
        <v>64</v>
      </c>
      <c r="C115" t="s">
        <v>65</v>
      </c>
      <c r="D115" t="s">
        <v>66</v>
      </c>
      <c r="E115">
        <v>0</v>
      </c>
    </row>
    <row r="116" spans="2:5" x14ac:dyDescent="0.25">
      <c r="B116" t="s">
        <v>67</v>
      </c>
      <c r="C116" t="s">
        <v>68</v>
      </c>
      <c r="D116" t="s">
        <v>69</v>
      </c>
      <c r="E116">
        <v>0</v>
      </c>
    </row>
    <row r="117" spans="2:5" x14ac:dyDescent="0.25">
      <c r="B117" t="s">
        <v>70</v>
      </c>
      <c r="C117" t="s">
        <v>71</v>
      </c>
      <c r="D117" t="s">
        <v>72</v>
      </c>
      <c r="E117">
        <v>0</v>
      </c>
    </row>
    <row r="118" spans="2:5" x14ac:dyDescent="0.25">
      <c r="B118" t="s">
        <v>73</v>
      </c>
      <c r="C118" t="s">
        <v>74</v>
      </c>
      <c r="D118" t="s">
        <v>75</v>
      </c>
      <c r="E118">
        <v>0</v>
      </c>
    </row>
    <row r="119" spans="2:5" x14ac:dyDescent="0.25">
      <c r="B119" t="s">
        <v>73</v>
      </c>
      <c r="C119" t="s">
        <v>76</v>
      </c>
      <c r="D119" t="s">
        <v>77</v>
      </c>
      <c r="E119">
        <v>0</v>
      </c>
    </row>
    <row r="120" spans="2:5" x14ac:dyDescent="0.25">
      <c r="B120" t="s">
        <v>11</v>
      </c>
      <c r="C120" t="s">
        <v>78</v>
      </c>
      <c r="D120" t="s">
        <v>79</v>
      </c>
      <c r="E120">
        <v>40</v>
      </c>
    </row>
    <row r="121" spans="2:5" x14ac:dyDescent="0.25">
      <c r="B121" t="s">
        <v>80</v>
      </c>
      <c r="C121" t="s">
        <v>81</v>
      </c>
      <c r="D121" t="s">
        <v>82</v>
      </c>
      <c r="E121">
        <v>0</v>
      </c>
    </row>
    <row r="122" spans="2:5" x14ac:dyDescent="0.25">
      <c r="B122" t="s">
        <v>83</v>
      </c>
      <c r="C122" t="s">
        <v>84</v>
      </c>
      <c r="D122" t="s">
        <v>85</v>
      </c>
      <c r="E122">
        <v>0</v>
      </c>
    </row>
    <row r="123" spans="2:5" x14ac:dyDescent="0.25">
      <c r="B123" t="s">
        <v>86</v>
      </c>
      <c r="C123" t="s">
        <v>87</v>
      </c>
      <c r="D123" t="s">
        <v>88</v>
      </c>
      <c r="E123">
        <v>0</v>
      </c>
    </row>
    <row r="124" spans="2:5" x14ac:dyDescent="0.25">
      <c r="B124" t="s">
        <v>86</v>
      </c>
      <c r="C124" t="s">
        <v>89</v>
      </c>
      <c r="D124" t="s">
        <v>90</v>
      </c>
      <c r="E124">
        <v>0</v>
      </c>
    </row>
    <row r="125" spans="2:5" x14ac:dyDescent="0.25">
      <c r="B125" t="s">
        <v>91</v>
      </c>
      <c r="C125" t="s">
        <v>92</v>
      </c>
      <c r="D125" t="s">
        <v>93</v>
      </c>
      <c r="E125">
        <v>0</v>
      </c>
    </row>
    <row r="126" spans="2:5" x14ac:dyDescent="0.25">
      <c r="B126" t="s">
        <v>55</v>
      </c>
      <c r="C126" t="s">
        <v>94</v>
      </c>
      <c r="D126" t="s">
        <v>95</v>
      </c>
      <c r="E126">
        <v>0</v>
      </c>
    </row>
    <row r="127" spans="2:5" x14ac:dyDescent="0.25">
      <c r="B127" t="s">
        <v>55</v>
      </c>
      <c r="C127" t="s">
        <v>96</v>
      </c>
      <c r="D127" t="s">
        <v>97</v>
      </c>
      <c r="E127">
        <v>0</v>
      </c>
    </row>
    <row r="128" spans="2:5" x14ac:dyDescent="0.25">
      <c r="B128" t="s">
        <v>55</v>
      </c>
      <c r="C128" t="s">
        <v>98</v>
      </c>
      <c r="D128" t="s">
        <v>99</v>
      </c>
      <c r="E128">
        <v>0</v>
      </c>
    </row>
    <row r="129" spans="2:5" x14ac:dyDescent="0.25">
      <c r="B129" t="s">
        <v>8</v>
      </c>
      <c r="C129" t="s">
        <v>100</v>
      </c>
      <c r="D129" t="s">
        <v>101</v>
      </c>
      <c r="E129">
        <v>0</v>
      </c>
    </row>
    <row r="130" spans="2:5" x14ac:dyDescent="0.25">
      <c r="B130" t="s">
        <v>40</v>
      </c>
      <c r="C130" t="s">
        <v>102</v>
      </c>
      <c r="D130" t="s">
        <v>103</v>
      </c>
      <c r="E130">
        <v>0</v>
      </c>
    </row>
    <row r="131" spans="2:5" x14ac:dyDescent="0.25">
      <c r="B131" t="s">
        <v>14</v>
      </c>
      <c r="C131" t="s">
        <v>104</v>
      </c>
      <c r="D131" t="s">
        <v>105</v>
      </c>
      <c r="E131">
        <v>0</v>
      </c>
    </row>
    <row r="132" spans="2:5" x14ac:dyDescent="0.25">
      <c r="B132" t="s">
        <v>106</v>
      </c>
      <c r="C132" t="s">
        <v>107</v>
      </c>
      <c r="D132" t="s">
        <v>108</v>
      </c>
      <c r="E132">
        <v>640</v>
      </c>
    </row>
    <row r="133" spans="2:5" x14ac:dyDescent="0.25">
      <c r="B133" t="s">
        <v>109</v>
      </c>
      <c r="C133" t="s">
        <v>110</v>
      </c>
      <c r="D133" t="s">
        <v>111</v>
      </c>
      <c r="E133">
        <v>800</v>
      </c>
    </row>
    <row r="134" spans="2:5" x14ac:dyDescent="0.25">
      <c r="B134" t="s">
        <v>14</v>
      </c>
      <c r="C134" t="s">
        <v>112</v>
      </c>
      <c r="D134" t="s">
        <v>113</v>
      </c>
      <c r="E134">
        <v>0</v>
      </c>
    </row>
    <row r="135" spans="2:5" x14ac:dyDescent="0.25">
      <c r="B135" t="s">
        <v>114</v>
      </c>
      <c r="C135" t="s">
        <v>115</v>
      </c>
      <c r="D135" t="s">
        <v>116</v>
      </c>
      <c r="E135">
        <v>17010</v>
      </c>
    </row>
    <row r="136" spans="2:5" x14ac:dyDescent="0.25">
      <c r="B136" t="s">
        <v>117</v>
      </c>
      <c r="C136" t="s">
        <v>118</v>
      </c>
      <c r="D136" t="s">
        <v>119</v>
      </c>
      <c r="E136">
        <v>0</v>
      </c>
    </row>
    <row r="137" spans="2:5" x14ac:dyDescent="0.25">
      <c r="B137" t="s">
        <v>120</v>
      </c>
      <c r="C137" t="s">
        <v>121</v>
      </c>
      <c r="D137" t="s">
        <v>122</v>
      </c>
      <c r="E137">
        <v>180</v>
      </c>
    </row>
    <row r="138" spans="2:5" x14ac:dyDescent="0.25">
      <c r="B138" t="s">
        <v>120</v>
      </c>
      <c r="C138" t="s">
        <v>123</v>
      </c>
      <c r="D138" t="s">
        <v>124</v>
      </c>
      <c r="E138">
        <v>19760</v>
      </c>
    </row>
    <row r="139" spans="2:5" x14ac:dyDescent="0.25">
      <c r="B139" t="s">
        <v>125</v>
      </c>
      <c r="C139" t="s">
        <v>126</v>
      </c>
      <c r="D139" t="s">
        <v>127</v>
      </c>
      <c r="E139">
        <v>0</v>
      </c>
    </row>
    <row r="140" spans="2:5" x14ac:dyDescent="0.25">
      <c r="B140" t="s">
        <v>128</v>
      </c>
      <c r="C140" t="s">
        <v>129</v>
      </c>
      <c r="D140" t="s">
        <v>130</v>
      </c>
      <c r="E140">
        <v>0</v>
      </c>
    </row>
    <row r="141" spans="2:5" x14ac:dyDescent="0.25">
      <c r="B141" t="s">
        <v>131</v>
      </c>
      <c r="C141" t="s">
        <v>132</v>
      </c>
      <c r="D141" t="s">
        <v>133</v>
      </c>
      <c r="E141">
        <v>0</v>
      </c>
    </row>
    <row r="142" spans="2:5" x14ac:dyDescent="0.25">
      <c r="B142" t="s">
        <v>134</v>
      </c>
      <c r="C142" t="s">
        <v>135</v>
      </c>
      <c r="D142" t="s">
        <v>136</v>
      </c>
      <c r="E142">
        <v>20</v>
      </c>
    </row>
    <row r="143" spans="2:5" x14ac:dyDescent="0.25">
      <c r="B143" t="s">
        <v>137</v>
      </c>
      <c r="C143" t="s">
        <v>138</v>
      </c>
      <c r="D143" t="s">
        <v>139</v>
      </c>
      <c r="E143">
        <v>230</v>
      </c>
    </row>
    <row r="144" spans="2:5" x14ac:dyDescent="0.25">
      <c r="B144" t="s">
        <v>140</v>
      </c>
      <c r="C144" t="s">
        <v>141</v>
      </c>
      <c r="D144" t="s">
        <v>142</v>
      </c>
      <c r="E144">
        <v>675</v>
      </c>
    </row>
    <row r="145" spans="2:5" x14ac:dyDescent="0.25">
      <c r="B145" t="s">
        <v>49</v>
      </c>
      <c r="C145" t="s">
        <v>50</v>
      </c>
      <c r="D145" t="s">
        <v>51</v>
      </c>
      <c r="E145">
        <v>0</v>
      </c>
    </row>
    <row r="146" spans="2:5" x14ac:dyDescent="0.25">
      <c r="B146" t="s">
        <v>17</v>
      </c>
      <c r="C146" t="s">
        <v>143</v>
      </c>
      <c r="D146" t="s">
        <v>144</v>
      </c>
      <c r="E146">
        <v>0</v>
      </c>
    </row>
    <row r="147" spans="2:5" x14ac:dyDescent="0.25">
      <c r="B147" t="s">
        <v>145</v>
      </c>
      <c r="C147" t="s">
        <v>146</v>
      </c>
      <c r="D147" t="s">
        <v>147</v>
      </c>
      <c r="E147">
        <v>0</v>
      </c>
    </row>
    <row r="148" spans="2:5" x14ac:dyDescent="0.25">
      <c r="B148" t="s">
        <v>148</v>
      </c>
      <c r="C148" t="s">
        <v>149</v>
      </c>
      <c r="D148" t="s">
        <v>150</v>
      </c>
      <c r="E148">
        <v>0</v>
      </c>
    </row>
    <row r="149" spans="2:5" x14ac:dyDescent="0.25">
      <c r="B149" t="s">
        <v>151</v>
      </c>
      <c r="C149" t="s">
        <v>152</v>
      </c>
      <c r="D149" t="s">
        <v>153</v>
      </c>
      <c r="E149">
        <v>0</v>
      </c>
    </row>
    <row r="150" spans="2:5" x14ac:dyDescent="0.25">
      <c r="B150" t="s">
        <v>120</v>
      </c>
      <c r="C150" t="s">
        <v>154</v>
      </c>
      <c r="D150" t="s">
        <v>155</v>
      </c>
      <c r="E150">
        <v>0</v>
      </c>
    </row>
    <row r="151" spans="2:5" x14ac:dyDescent="0.25">
      <c r="B151" t="s">
        <v>140</v>
      </c>
      <c r="C151" t="s">
        <v>141</v>
      </c>
      <c r="D151" t="s">
        <v>142</v>
      </c>
      <c r="E151">
        <v>0</v>
      </c>
    </row>
    <row r="152" spans="2:5" x14ac:dyDescent="0.25">
      <c r="B152" t="s">
        <v>156</v>
      </c>
      <c r="C152" t="s">
        <v>157</v>
      </c>
      <c r="D152" t="s">
        <v>158</v>
      </c>
      <c r="E152">
        <v>20000</v>
      </c>
    </row>
    <row r="153" spans="2:5" x14ac:dyDescent="0.25">
      <c r="B153" t="s">
        <v>61</v>
      </c>
      <c r="C153" t="s">
        <v>159</v>
      </c>
      <c r="D153" t="s">
        <v>160</v>
      </c>
      <c r="E153">
        <v>0</v>
      </c>
    </row>
    <row r="154" spans="2:5" x14ac:dyDescent="0.25">
      <c r="B154" t="s">
        <v>250</v>
      </c>
      <c r="C154" t="s">
        <v>251</v>
      </c>
      <c r="D154" t="s">
        <v>252</v>
      </c>
      <c r="E154">
        <v>0</v>
      </c>
    </row>
    <row r="155" spans="2:5" x14ac:dyDescent="0.25">
      <c r="B155" t="s">
        <v>261</v>
      </c>
      <c r="C155" t="s">
        <v>264</v>
      </c>
      <c r="D155" t="s">
        <v>265</v>
      </c>
      <c r="E155">
        <v>0</v>
      </c>
    </row>
    <row r="156" spans="2:5" x14ac:dyDescent="0.25">
      <c r="B156" t="s">
        <v>109</v>
      </c>
      <c r="C156" t="s">
        <v>110</v>
      </c>
      <c r="D156" t="s">
        <v>111</v>
      </c>
      <c r="E156">
        <v>0</v>
      </c>
    </row>
    <row r="157" spans="2:5" x14ac:dyDescent="0.25">
      <c r="B157" t="s">
        <v>120</v>
      </c>
      <c r="C157" t="s">
        <v>834</v>
      </c>
      <c r="D157" t="s">
        <v>835</v>
      </c>
      <c r="E157">
        <v>430</v>
      </c>
    </row>
    <row r="158" spans="2:5" x14ac:dyDescent="0.25">
      <c r="B158" t="s">
        <v>120</v>
      </c>
      <c r="C158" t="s">
        <v>834</v>
      </c>
      <c r="D158" t="s">
        <v>835</v>
      </c>
      <c r="E158">
        <v>0</v>
      </c>
    </row>
    <row r="159" spans="2:5" x14ac:dyDescent="0.25">
      <c r="B159" t="s">
        <v>14</v>
      </c>
      <c r="C159" t="s">
        <v>836</v>
      </c>
      <c r="D159" t="s">
        <v>837</v>
      </c>
      <c r="E159">
        <v>0</v>
      </c>
    </row>
    <row r="160" spans="2:5" x14ac:dyDescent="0.25">
      <c r="B160" t="s">
        <v>14</v>
      </c>
      <c r="C160" t="s">
        <v>836</v>
      </c>
      <c r="D160" t="s">
        <v>837</v>
      </c>
      <c r="E160">
        <v>0</v>
      </c>
    </row>
    <row r="161" spans="2:5" x14ac:dyDescent="0.25">
      <c r="B161" t="s">
        <v>61</v>
      </c>
      <c r="C161" t="s">
        <v>838</v>
      </c>
      <c r="D161" t="s">
        <v>839</v>
      </c>
      <c r="E161">
        <v>0</v>
      </c>
    </row>
    <row r="162" spans="2:5" x14ac:dyDescent="0.25">
      <c r="B162" t="s">
        <v>145</v>
      </c>
      <c r="C162" t="s">
        <v>840</v>
      </c>
      <c r="D162" t="s">
        <v>841</v>
      </c>
      <c r="E162">
        <v>0</v>
      </c>
    </row>
    <row r="163" spans="2:5" x14ac:dyDescent="0.25">
      <c r="B163" t="s">
        <v>61</v>
      </c>
      <c r="C163" t="s">
        <v>842</v>
      </c>
      <c r="D163" t="s">
        <v>843</v>
      </c>
      <c r="E163">
        <v>0</v>
      </c>
    </row>
    <row r="164" spans="2:5" x14ac:dyDescent="0.25">
      <c r="B164" t="s">
        <v>61</v>
      </c>
      <c r="C164" t="s">
        <v>844</v>
      </c>
      <c r="D164" t="s">
        <v>845</v>
      </c>
      <c r="E164">
        <v>0</v>
      </c>
    </row>
    <row r="165" spans="2:5" x14ac:dyDescent="0.25">
      <c r="B165" t="s">
        <v>61</v>
      </c>
      <c r="C165" t="s">
        <v>846</v>
      </c>
      <c r="D165" t="s">
        <v>847</v>
      </c>
      <c r="E165">
        <v>0</v>
      </c>
    </row>
    <row r="166" spans="2:5" x14ac:dyDescent="0.25">
      <c r="B166" t="s">
        <v>217</v>
      </c>
      <c r="C166" t="s">
        <v>848</v>
      </c>
      <c r="D166" t="s">
        <v>849</v>
      </c>
      <c r="E166">
        <v>0</v>
      </c>
    </row>
    <row r="167" spans="2:5" x14ac:dyDescent="0.25">
      <c r="B167" t="s">
        <v>217</v>
      </c>
      <c r="C167" t="s">
        <v>1521</v>
      </c>
      <c r="D167" t="s">
        <v>1522</v>
      </c>
      <c r="E167">
        <v>0</v>
      </c>
    </row>
    <row r="168" spans="2:5" x14ac:dyDescent="0.25">
      <c r="B168" t="s">
        <v>195</v>
      </c>
      <c r="C168" t="s">
        <v>1523</v>
      </c>
      <c r="D168" t="s">
        <v>1524</v>
      </c>
      <c r="E168">
        <v>0</v>
      </c>
    </row>
    <row r="169" spans="2:5" x14ac:dyDescent="0.25">
      <c r="B169" t="s">
        <v>114</v>
      </c>
      <c r="C169" t="s">
        <v>115</v>
      </c>
      <c r="D169" t="s">
        <v>116</v>
      </c>
      <c r="E169">
        <v>0</v>
      </c>
    </row>
    <row r="170" spans="2:5" x14ac:dyDescent="0.25">
      <c r="B170" t="s">
        <v>11</v>
      </c>
      <c r="C170" t="s">
        <v>1525</v>
      </c>
      <c r="D170" t="s">
        <v>1526</v>
      </c>
      <c r="E170">
        <v>0</v>
      </c>
    </row>
    <row r="171" spans="2:5" x14ac:dyDescent="0.25">
      <c r="B171" t="s">
        <v>52</v>
      </c>
      <c r="C171" t="s">
        <v>1527</v>
      </c>
      <c r="D171" t="s">
        <v>1528</v>
      </c>
      <c r="E171">
        <v>0</v>
      </c>
    </row>
    <row r="172" spans="2:5" x14ac:dyDescent="0.25">
      <c r="B172" t="s">
        <v>73</v>
      </c>
      <c r="C172" t="s">
        <v>1529</v>
      </c>
      <c r="D172" t="s">
        <v>1530</v>
      </c>
      <c r="E172">
        <v>0</v>
      </c>
    </row>
    <row r="173" spans="2:5" x14ac:dyDescent="0.25">
      <c r="B173" t="s">
        <v>8</v>
      </c>
      <c r="C173" t="s">
        <v>605</v>
      </c>
      <c r="D173" t="s">
        <v>606</v>
      </c>
      <c r="E173">
        <v>0</v>
      </c>
    </row>
    <row r="174" spans="2:5" x14ac:dyDescent="0.25">
      <c r="B174" t="s">
        <v>8</v>
      </c>
      <c r="C174" t="s">
        <v>605</v>
      </c>
      <c r="D174" t="s">
        <v>606</v>
      </c>
      <c r="E174">
        <v>0</v>
      </c>
    </row>
    <row r="175" spans="2:5" x14ac:dyDescent="0.25">
      <c r="B175" t="s">
        <v>17</v>
      </c>
      <c r="C175" t="s">
        <v>607</v>
      </c>
      <c r="D175" t="s">
        <v>608</v>
      </c>
      <c r="E175">
        <v>0</v>
      </c>
    </row>
    <row r="176" spans="2:5" x14ac:dyDescent="0.25">
      <c r="B176" t="s">
        <v>306</v>
      </c>
      <c r="C176" t="s">
        <v>609</v>
      </c>
      <c r="D176" t="s">
        <v>610</v>
      </c>
      <c r="E176">
        <v>793</v>
      </c>
    </row>
    <row r="177" spans="2:5" x14ac:dyDescent="0.25">
      <c r="B177" t="s">
        <v>164</v>
      </c>
      <c r="C177" t="s">
        <v>611</v>
      </c>
      <c r="D177" t="s">
        <v>612</v>
      </c>
      <c r="E177">
        <v>0</v>
      </c>
    </row>
    <row r="178" spans="2:5" x14ac:dyDescent="0.25">
      <c r="B178" t="s">
        <v>20</v>
      </c>
      <c r="C178" t="s">
        <v>613</v>
      </c>
      <c r="D178" t="s">
        <v>614</v>
      </c>
      <c r="E178">
        <v>0</v>
      </c>
    </row>
    <row r="179" spans="2:5" x14ac:dyDescent="0.25">
      <c r="B179" t="s">
        <v>20</v>
      </c>
      <c r="C179" t="s">
        <v>615</v>
      </c>
      <c r="D179" t="s">
        <v>616</v>
      </c>
      <c r="E179">
        <v>0</v>
      </c>
    </row>
    <row r="180" spans="2:5" x14ac:dyDescent="0.25">
      <c r="B180" t="s">
        <v>20</v>
      </c>
      <c r="C180" t="s">
        <v>617</v>
      </c>
      <c r="D180" t="s">
        <v>618</v>
      </c>
      <c r="E180">
        <v>0</v>
      </c>
    </row>
    <row r="181" spans="2:5" x14ac:dyDescent="0.25">
      <c r="B181" t="s">
        <v>25</v>
      </c>
      <c r="C181" t="s">
        <v>619</v>
      </c>
      <c r="D181" t="s">
        <v>620</v>
      </c>
      <c r="E181">
        <v>370</v>
      </c>
    </row>
    <row r="182" spans="2:5" x14ac:dyDescent="0.25">
      <c r="B182" t="s">
        <v>25</v>
      </c>
      <c r="C182" t="s">
        <v>619</v>
      </c>
      <c r="D182" t="s">
        <v>620</v>
      </c>
      <c r="E182">
        <v>0</v>
      </c>
    </row>
    <row r="183" spans="2:5" x14ac:dyDescent="0.25">
      <c r="B183" t="s">
        <v>25</v>
      </c>
      <c r="C183" t="s">
        <v>621</v>
      </c>
      <c r="D183" t="s">
        <v>622</v>
      </c>
      <c r="E183">
        <v>0</v>
      </c>
    </row>
    <row r="184" spans="2:5" x14ac:dyDescent="0.25">
      <c r="B184" t="s">
        <v>623</v>
      </c>
      <c r="C184" t="s">
        <v>624</v>
      </c>
      <c r="D184" t="s">
        <v>625</v>
      </c>
      <c r="E184">
        <v>0</v>
      </c>
    </row>
    <row r="185" spans="2:5" x14ac:dyDescent="0.25">
      <c r="B185" t="s">
        <v>261</v>
      </c>
      <c r="C185" t="s">
        <v>626</v>
      </c>
      <c r="D185" t="s">
        <v>627</v>
      </c>
      <c r="E185">
        <v>0</v>
      </c>
    </row>
    <row r="186" spans="2:5" x14ac:dyDescent="0.25">
      <c r="B186" t="s">
        <v>261</v>
      </c>
      <c r="C186" t="s">
        <v>626</v>
      </c>
      <c r="D186" t="s">
        <v>627</v>
      </c>
      <c r="E186">
        <v>0</v>
      </c>
    </row>
    <row r="187" spans="2:5" x14ac:dyDescent="0.25">
      <c r="B187" t="s">
        <v>14</v>
      </c>
      <c r="C187" t="s">
        <v>628</v>
      </c>
      <c r="D187" t="s">
        <v>629</v>
      </c>
      <c r="E187">
        <v>0</v>
      </c>
    </row>
    <row r="188" spans="2:5" x14ac:dyDescent="0.25">
      <c r="B188" t="s">
        <v>14</v>
      </c>
      <c r="C188" t="s">
        <v>628</v>
      </c>
      <c r="D188" t="s">
        <v>629</v>
      </c>
      <c r="E188">
        <v>0</v>
      </c>
    </row>
    <row r="189" spans="2:5" x14ac:dyDescent="0.25">
      <c r="B189" t="s">
        <v>14</v>
      </c>
      <c r="C189" t="s">
        <v>630</v>
      </c>
      <c r="D189" t="s">
        <v>631</v>
      </c>
      <c r="E189">
        <v>0</v>
      </c>
    </row>
    <row r="190" spans="2:5" x14ac:dyDescent="0.25">
      <c r="B190" t="s">
        <v>14</v>
      </c>
      <c r="C190" t="s">
        <v>630</v>
      </c>
      <c r="D190" t="s">
        <v>631</v>
      </c>
      <c r="E190">
        <v>0</v>
      </c>
    </row>
    <row r="191" spans="2:5" x14ac:dyDescent="0.25">
      <c r="B191" t="s">
        <v>131</v>
      </c>
      <c r="C191" t="s">
        <v>632</v>
      </c>
      <c r="D191" t="s">
        <v>633</v>
      </c>
      <c r="E191">
        <v>0</v>
      </c>
    </row>
    <row r="192" spans="2:5" x14ac:dyDescent="0.25">
      <c r="B192" t="s">
        <v>131</v>
      </c>
      <c r="C192" t="s">
        <v>634</v>
      </c>
      <c r="D192" t="s">
        <v>635</v>
      </c>
      <c r="E192">
        <v>0</v>
      </c>
    </row>
    <row r="193" spans="2:5" x14ac:dyDescent="0.25">
      <c r="B193" t="s">
        <v>217</v>
      </c>
      <c r="C193" t="s">
        <v>636</v>
      </c>
      <c r="D193" t="s">
        <v>637</v>
      </c>
      <c r="E193">
        <v>0</v>
      </c>
    </row>
    <row r="194" spans="2:5" x14ac:dyDescent="0.25">
      <c r="B194" t="s">
        <v>222</v>
      </c>
      <c r="C194" t="s">
        <v>638</v>
      </c>
      <c r="D194" t="s">
        <v>639</v>
      </c>
      <c r="E194">
        <v>0</v>
      </c>
    </row>
    <row r="195" spans="2:5" x14ac:dyDescent="0.25">
      <c r="B195" t="s">
        <v>58</v>
      </c>
      <c r="C195" t="s">
        <v>640</v>
      </c>
      <c r="D195" t="s">
        <v>641</v>
      </c>
      <c r="E195">
        <v>0</v>
      </c>
    </row>
    <row r="196" spans="2:5" x14ac:dyDescent="0.25">
      <c r="B196" t="s">
        <v>58</v>
      </c>
      <c r="C196" t="s">
        <v>642</v>
      </c>
      <c r="D196" t="s">
        <v>643</v>
      </c>
      <c r="E196">
        <v>0</v>
      </c>
    </row>
    <row r="197" spans="2:5" x14ac:dyDescent="0.25">
      <c r="B197" t="s">
        <v>496</v>
      </c>
      <c r="C197" t="s">
        <v>644</v>
      </c>
      <c r="D197" t="s">
        <v>645</v>
      </c>
      <c r="E197">
        <v>0</v>
      </c>
    </row>
    <row r="198" spans="2:5" x14ac:dyDescent="0.25">
      <c r="B198" t="s">
        <v>61</v>
      </c>
      <c r="C198" t="s">
        <v>646</v>
      </c>
      <c r="D198" t="s">
        <v>647</v>
      </c>
      <c r="E198">
        <v>20</v>
      </c>
    </row>
    <row r="199" spans="2:5" x14ac:dyDescent="0.25">
      <c r="B199" t="s">
        <v>64</v>
      </c>
      <c r="C199" t="s">
        <v>648</v>
      </c>
      <c r="D199" t="s">
        <v>649</v>
      </c>
      <c r="E199">
        <v>0</v>
      </c>
    </row>
    <row r="200" spans="2:5" x14ac:dyDescent="0.25">
      <c r="B200" t="s">
        <v>195</v>
      </c>
      <c r="C200" t="s">
        <v>650</v>
      </c>
      <c r="D200" t="s">
        <v>651</v>
      </c>
      <c r="E200">
        <v>0</v>
      </c>
    </row>
    <row r="201" spans="2:5" x14ac:dyDescent="0.25">
      <c r="B201" t="s">
        <v>67</v>
      </c>
      <c r="C201" t="s">
        <v>652</v>
      </c>
      <c r="D201" t="s">
        <v>653</v>
      </c>
      <c r="E201">
        <v>0</v>
      </c>
    </row>
    <row r="202" spans="2:5" x14ac:dyDescent="0.25">
      <c r="B202" t="s">
        <v>67</v>
      </c>
      <c r="C202" t="s">
        <v>654</v>
      </c>
      <c r="D202" t="s">
        <v>655</v>
      </c>
      <c r="E202">
        <v>220</v>
      </c>
    </row>
    <row r="203" spans="2:5" x14ac:dyDescent="0.25">
      <c r="B203" t="s">
        <v>70</v>
      </c>
      <c r="C203" t="s">
        <v>656</v>
      </c>
      <c r="D203" t="s">
        <v>657</v>
      </c>
      <c r="E203">
        <v>0</v>
      </c>
    </row>
    <row r="204" spans="2:5" x14ac:dyDescent="0.25">
      <c r="B204" t="s">
        <v>352</v>
      </c>
      <c r="C204" t="s">
        <v>658</v>
      </c>
      <c r="D204" t="s">
        <v>659</v>
      </c>
      <c r="E204">
        <v>0</v>
      </c>
    </row>
    <row r="205" spans="2:5" x14ac:dyDescent="0.25">
      <c r="B205" t="s">
        <v>52</v>
      </c>
      <c r="C205" t="s">
        <v>660</v>
      </c>
      <c r="D205" t="s">
        <v>661</v>
      </c>
      <c r="E205">
        <v>0</v>
      </c>
    </row>
    <row r="206" spans="2:5" x14ac:dyDescent="0.25">
      <c r="B206" t="s">
        <v>521</v>
      </c>
      <c r="C206" t="s">
        <v>662</v>
      </c>
      <c r="D206" t="s">
        <v>663</v>
      </c>
      <c r="E206">
        <v>0</v>
      </c>
    </row>
    <row r="207" spans="2:5" x14ac:dyDescent="0.25">
      <c r="B207" t="s">
        <v>209</v>
      </c>
      <c r="C207" t="s">
        <v>664</v>
      </c>
      <c r="D207" t="s">
        <v>665</v>
      </c>
      <c r="E207">
        <v>0</v>
      </c>
    </row>
    <row r="208" spans="2:5" x14ac:dyDescent="0.25">
      <c r="B208" t="s">
        <v>55</v>
      </c>
      <c r="C208" t="s">
        <v>666</v>
      </c>
      <c r="D208" t="s">
        <v>667</v>
      </c>
      <c r="E208">
        <v>0</v>
      </c>
    </row>
    <row r="209" spans="2:5" x14ac:dyDescent="0.25">
      <c r="B209" t="s">
        <v>55</v>
      </c>
      <c r="C209" t="s">
        <v>668</v>
      </c>
      <c r="D209" t="s">
        <v>669</v>
      </c>
      <c r="E209">
        <v>0</v>
      </c>
    </row>
    <row r="210" spans="2:5" x14ac:dyDescent="0.25">
      <c r="B210" t="s">
        <v>8</v>
      </c>
      <c r="C210" t="s">
        <v>670</v>
      </c>
      <c r="D210" t="s">
        <v>671</v>
      </c>
      <c r="E210">
        <v>0</v>
      </c>
    </row>
    <row r="211" spans="2:5" x14ac:dyDescent="0.25">
      <c r="B211" t="s">
        <v>17</v>
      </c>
      <c r="C211" t="s">
        <v>672</v>
      </c>
      <c r="D211" t="s">
        <v>673</v>
      </c>
      <c r="E211">
        <v>0</v>
      </c>
    </row>
    <row r="212" spans="2:5" x14ac:dyDescent="0.25">
      <c r="B212" t="s">
        <v>20</v>
      </c>
      <c r="C212" t="s">
        <v>674</v>
      </c>
      <c r="D212" t="s">
        <v>675</v>
      </c>
      <c r="E212">
        <v>0</v>
      </c>
    </row>
    <row r="213" spans="2:5" x14ac:dyDescent="0.25">
      <c r="B213" t="s">
        <v>20</v>
      </c>
      <c r="C213" t="s">
        <v>676</v>
      </c>
      <c r="D213" t="s">
        <v>677</v>
      </c>
      <c r="E213">
        <v>0</v>
      </c>
    </row>
    <row r="214" spans="2:5" x14ac:dyDescent="0.25">
      <c r="B214" t="s">
        <v>25</v>
      </c>
      <c r="C214" t="s">
        <v>678</v>
      </c>
      <c r="D214" t="s">
        <v>679</v>
      </c>
      <c r="E214">
        <v>0</v>
      </c>
    </row>
    <row r="215" spans="2:5" x14ac:dyDescent="0.25">
      <c r="B215" t="s">
        <v>680</v>
      </c>
      <c r="C215" t="s">
        <v>681</v>
      </c>
      <c r="D215" t="s">
        <v>682</v>
      </c>
      <c r="E215">
        <v>0</v>
      </c>
    </row>
    <row r="216" spans="2:5" x14ac:dyDescent="0.25">
      <c r="B216" t="s">
        <v>261</v>
      </c>
      <c r="C216" t="s">
        <v>683</v>
      </c>
      <c r="D216" t="s">
        <v>684</v>
      </c>
      <c r="E216">
        <v>0</v>
      </c>
    </row>
    <row r="217" spans="2:5" x14ac:dyDescent="0.25">
      <c r="B217" t="s">
        <v>14</v>
      </c>
      <c r="C217" t="s">
        <v>685</v>
      </c>
      <c r="D217" t="s">
        <v>686</v>
      </c>
      <c r="E217">
        <v>0</v>
      </c>
    </row>
    <row r="218" spans="2:5" x14ac:dyDescent="0.25">
      <c r="B218" t="s">
        <v>687</v>
      </c>
      <c r="C218" t="s">
        <v>688</v>
      </c>
      <c r="D218" t="s">
        <v>689</v>
      </c>
      <c r="E218">
        <v>0</v>
      </c>
    </row>
    <row r="219" spans="2:5" x14ac:dyDescent="0.25">
      <c r="B219" t="s">
        <v>195</v>
      </c>
      <c r="C219" t="s">
        <v>690</v>
      </c>
      <c r="D219" t="s">
        <v>691</v>
      </c>
      <c r="E219">
        <v>0</v>
      </c>
    </row>
    <row r="220" spans="2:5" x14ac:dyDescent="0.25">
      <c r="B220" t="s">
        <v>83</v>
      </c>
      <c r="C220" t="s">
        <v>692</v>
      </c>
      <c r="D220" t="s">
        <v>693</v>
      </c>
      <c r="E220">
        <v>15</v>
      </c>
    </row>
    <row r="221" spans="2:5" x14ac:dyDescent="0.25">
      <c r="B221" t="s">
        <v>694</v>
      </c>
      <c r="C221" t="s">
        <v>695</v>
      </c>
      <c r="D221" t="s">
        <v>696</v>
      </c>
      <c r="E221">
        <v>0</v>
      </c>
    </row>
    <row r="222" spans="2:5" x14ac:dyDescent="0.25">
      <c r="B222" t="s">
        <v>694</v>
      </c>
      <c r="C222" t="s">
        <v>695</v>
      </c>
      <c r="D222" t="s">
        <v>696</v>
      </c>
      <c r="E222">
        <v>0</v>
      </c>
    </row>
    <row r="223" spans="2:5" x14ac:dyDescent="0.25">
      <c r="B223" t="s">
        <v>80</v>
      </c>
      <c r="C223" t="s">
        <v>697</v>
      </c>
      <c r="D223" t="s">
        <v>698</v>
      </c>
      <c r="E223">
        <v>0</v>
      </c>
    </row>
    <row r="224" spans="2:5" x14ac:dyDescent="0.25">
      <c r="B224" t="s">
        <v>120</v>
      </c>
      <c r="C224" t="s">
        <v>699</v>
      </c>
      <c r="D224" t="s">
        <v>700</v>
      </c>
      <c r="E224">
        <v>0</v>
      </c>
    </row>
    <row r="225" spans="2:5" x14ac:dyDescent="0.25">
      <c r="B225" t="s">
        <v>8</v>
      </c>
      <c r="C225" t="s">
        <v>605</v>
      </c>
      <c r="D225" t="s">
        <v>606</v>
      </c>
      <c r="E225">
        <v>0</v>
      </c>
    </row>
    <row r="226" spans="2:5" x14ac:dyDescent="0.25">
      <c r="B226" t="s">
        <v>195</v>
      </c>
      <c r="C226" t="s">
        <v>701</v>
      </c>
      <c r="D226" t="s">
        <v>702</v>
      </c>
      <c r="E226">
        <v>0</v>
      </c>
    </row>
    <row r="227" spans="2:5" x14ac:dyDescent="0.25">
      <c r="B227" t="s">
        <v>134</v>
      </c>
      <c r="C227" t="s">
        <v>703</v>
      </c>
      <c r="D227" t="s">
        <v>704</v>
      </c>
      <c r="E227">
        <v>200</v>
      </c>
    </row>
    <row r="228" spans="2:5" x14ac:dyDescent="0.25">
      <c r="B228" t="s">
        <v>705</v>
      </c>
      <c r="C228" t="s">
        <v>706</v>
      </c>
      <c r="D228" t="s">
        <v>707</v>
      </c>
      <c r="E228">
        <v>0</v>
      </c>
    </row>
    <row r="229" spans="2:5" x14ac:dyDescent="0.25">
      <c r="B229" t="s">
        <v>55</v>
      </c>
      <c r="C229" t="s">
        <v>708</v>
      </c>
      <c r="D229" t="s">
        <v>709</v>
      </c>
      <c r="E229">
        <v>0</v>
      </c>
    </row>
    <row r="230" spans="2:5" x14ac:dyDescent="0.25">
      <c r="B230" t="s">
        <v>125</v>
      </c>
      <c r="C230" t="s">
        <v>710</v>
      </c>
      <c r="D230" t="s">
        <v>711</v>
      </c>
      <c r="E230">
        <v>0</v>
      </c>
    </row>
    <row r="231" spans="2:5" x14ac:dyDescent="0.25">
      <c r="B231" t="s">
        <v>551</v>
      </c>
      <c r="C231" t="s">
        <v>735</v>
      </c>
      <c r="D231" t="s">
        <v>736</v>
      </c>
      <c r="E231">
        <v>60</v>
      </c>
    </row>
    <row r="232" spans="2:5" x14ac:dyDescent="0.25">
      <c r="B232" t="s">
        <v>217</v>
      </c>
      <c r="C232" t="s">
        <v>761</v>
      </c>
      <c r="D232" t="s">
        <v>762</v>
      </c>
      <c r="E232">
        <v>0</v>
      </c>
    </row>
    <row r="233" spans="2:5" x14ac:dyDescent="0.25">
      <c r="B233" t="s">
        <v>715</v>
      </c>
      <c r="C233" t="s">
        <v>716</v>
      </c>
      <c r="D233" t="s">
        <v>717</v>
      </c>
      <c r="E233">
        <v>45</v>
      </c>
    </row>
    <row r="234" spans="2:5" x14ac:dyDescent="0.25">
      <c r="B234" t="s">
        <v>164</v>
      </c>
      <c r="C234" t="s">
        <v>1094</v>
      </c>
      <c r="D234" t="s">
        <v>1095</v>
      </c>
      <c r="E234">
        <v>0</v>
      </c>
    </row>
    <row r="235" spans="2:5" x14ac:dyDescent="0.25">
      <c r="B235" t="s">
        <v>20</v>
      </c>
      <c r="C235" t="s">
        <v>615</v>
      </c>
      <c r="D235" t="s">
        <v>616</v>
      </c>
      <c r="E235">
        <v>0</v>
      </c>
    </row>
    <row r="236" spans="2:5" x14ac:dyDescent="0.25">
      <c r="B236" t="s">
        <v>217</v>
      </c>
      <c r="C236" t="s">
        <v>1088</v>
      </c>
      <c r="D236" t="s">
        <v>1089</v>
      </c>
      <c r="E236">
        <v>0</v>
      </c>
    </row>
    <row r="237" spans="2:5" x14ac:dyDescent="0.25">
      <c r="B237" t="s">
        <v>151</v>
      </c>
      <c r="C237" t="s">
        <v>1092</v>
      </c>
      <c r="D237" t="s">
        <v>1093</v>
      </c>
      <c r="E237">
        <v>300</v>
      </c>
    </row>
    <row r="238" spans="2:5" x14ac:dyDescent="0.25">
      <c r="B238" t="s">
        <v>140</v>
      </c>
      <c r="C238" t="s">
        <v>1412</v>
      </c>
      <c r="D238" t="s">
        <v>1413</v>
      </c>
      <c r="E238">
        <v>0</v>
      </c>
    </row>
    <row r="239" spans="2:5" x14ac:dyDescent="0.25">
      <c r="B239" t="s">
        <v>140</v>
      </c>
      <c r="C239" t="s">
        <v>1414</v>
      </c>
      <c r="D239" t="s">
        <v>1415</v>
      </c>
      <c r="E239">
        <v>0</v>
      </c>
    </row>
    <row r="240" spans="2:5" x14ac:dyDescent="0.25">
      <c r="B240" t="s">
        <v>145</v>
      </c>
      <c r="C240" t="s">
        <v>1416</v>
      </c>
      <c r="D240" t="s">
        <v>1417</v>
      </c>
      <c r="E240">
        <v>0</v>
      </c>
    </row>
    <row r="241" spans="2:5" x14ac:dyDescent="0.25">
      <c r="B241" t="s">
        <v>61</v>
      </c>
      <c r="C241" t="s">
        <v>1418</v>
      </c>
      <c r="D241" t="s">
        <v>1419</v>
      </c>
      <c r="E241">
        <v>0</v>
      </c>
    </row>
    <row r="242" spans="2:5" x14ac:dyDescent="0.25">
      <c r="B242" t="s">
        <v>61</v>
      </c>
      <c r="C242" t="s">
        <v>1420</v>
      </c>
      <c r="D242" t="s">
        <v>1421</v>
      </c>
      <c r="E242">
        <v>0</v>
      </c>
    </row>
    <row r="243" spans="2:5" x14ac:dyDescent="0.25">
      <c r="B243" t="s">
        <v>195</v>
      </c>
      <c r="C243" t="s">
        <v>1422</v>
      </c>
      <c r="D243" t="s">
        <v>1423</v>
      </c>
      <c r="E243">
        <v>0</v>
      </c>
    </row>
    <row r="244" spans="2:5" x14ac:dyDescent="0.25">
      <c r="B244" t="s">
        <v>195</v>
      </c>
      <c r="C244" t="s">
        <v>1424</v>
      </c>
      <c r="D244" t="s">
        <v>1425</v>
      </c>
      <c r="E244">
        <v>0</v>
      </c>
    </row>
    <row r="245" spans="2:5" x14ac:dyDescent="0.25">
      <c r="B245" t="s">
        <v>195</v>
      </c>
      <c r="C245" t="s">
        <v>1426</v>
      </c>
      <c r="D245" t="s">
        <v>1427</v>
      </c>
      <c r="E245">
        <v>0</v>
      </c>
    </row>
    <row r="246" spans="2:5" x14ac:dyDescent="0.25">
      <c r="B246" t="s">
        <v>1428</v>
      </c>
      <c r="C246" t="s">
        <v>1429</v>
      </c>
      <c r="D246" t="s">
        <v>1430</v>
      </c>
      <c r="E246">
        <v>0</v>
      </c>
    </row>
    <row r="247" spans="2:5" x14ac:dyDescent="0.25">
      <c r="B247" t="s">
        <v>797</v>
      </c>
      <c r="C247" t="s">
        <v>1431</v>
      </c>
      <c r="D247" t="s">
        <v>928</v>
      </c>
      <c r="E247">
        <v>0</v>
      </c>
    </row>
    <row r="248" spans="2:5" x14ac:dyDescent="0.25">
      <c r="B248" t="s">
        <v>797</v>
      </c>
      <c r="C248" t="s">
        <v>1432</v>
      </c>
      <c r="D248" t="s">
        <v>767</v>
      </c>
      <c r="E248">
        <v>0</v>
      </c>
    </row>
    <row r="249" spans="2:5" x14ac:dyDescent="0.25">
      <c r="B249" t="s">
        <v>1433</v>
      </c>
      <c r="C249" t="s">
        <v>1434</v>
      </c>
      <c r="D249" t="s">
        <v>1435</v>
      </c>
      <c r="E249">
        <v>680</v>
      </c>
    </row>
    <row r="250" spans="2:5" x14ac:dyDescent="0.25">
      <c r="B250" t="s">
        <v>8</v>
      </c>
      <c r="C250" t="s">
        <v>1436</v>
      </c>
      <c r="D250" t="s">
        <v>1437</v>
      </c>
      <c r="E250">
        <v>0</v>
      </c>
    </row>
    <row r="251" spans="2:5" x14ac:dyDescent="0.25">
      <c r="B251" t="s">
        <v>705</v>
      </c>
      <c r="C251" t="s">
        <v>1117</v>
      </c>
      <c r="D251" t="s">
        <v>1118</v>
      </c>
      <c r="E251">
        <v>0</v>
      </c>
    </row>
    <row r="252" spans="2:5" x14ac:dyDescent="0.25">
      <c r="B252" t="s">
        <v>73</v>
      </c>
      <c r="C252" t="s">
        <v>1438</v>
      </c>
      <c r="D252" t="s">
        <v>1439</v>
      </c>
      <c r="E252">
        <v>0</v>
      </c>
    </row>
    <row r="253" spans="2:5" x14ac:dyDescent="0.25">
      <c r="B253" t="s">
        <v>860</v>
      </c>
      <c r="C253" t="s">
        <v>1440</v>
      </c>
      <c r="D253" t="s">
        <v>1441</v>
      </c>
      <c r="E253">
        <v>0</v>
      </c>
    </row>
    <row r="254" spans="2:5" x14ac:dyDescent="0.25">
      <c r="B254" t="s">
        <v>73</v>
      </c>
      <c r="C254" t="s">
        <v>1442</v>
      </c>
      <c r="D254" t="s">
        <v>1443</v>
      </c>
      <c r="E254">
        <v>0</v>
      </c>
    </row>
    <row r="255" spans="2:5" x14ac:dyDescent="0.25">
      <c r="B255" t="s">
        <v>73</v>
      </c>
      <c r="C255" t="s">
        <v>1444</v>
      </c>
      <c r="D255" t="s">
        <v>1445</v>
      </c>
      <c r="E255">
        <v>0</v>
      </c>
    </row>
    <row r="256" spans="2:5" x14ac:dyDescent="0.25">
      <c r="B256" t="s">
        <v>352</v>
      </c>
      <c r="C256" t="s">
        <v>1446</v>
      </c>
      <c r="D256" t="s">
        <v>1447</v>
      </c>
      <c r="E256">
        <v>0</v>
      </c>
    </row>
    <row r="257" spans="2:5" x14ac:dyDescent="0.25">
      <c r="B257" t="s">
        <v>352</v>
      </c>
      <c r="C257" t="s">
        <v>1448</v>
      </c>
      <c r="D257" t="s">
        <v>1449</v>
      </c>
      <c r="E257">
        <v>0</v>
      </c>
    </row>
    <row r="258" spans="2:5" x14ac:dyDescent="0.25">
      <c r="B258" t="s">
        <v>11</v>
      </c>
      <c r="C258" t="s">
        <v>296</v>
      </c>
      <c r="D258" t="s">
        <v>297</v>
      </c>
      <c r="E258">
        <v>30</v>
      </c>
    </row>
    <row r="259" spans="2:5" x14ac:dyDescent="0.25">
      <c r="B259" t="s">
        <v>161</v>
      </c>
      <c r="C259" t="s">
        <v>298</v>
      </c>
      <c r="D259" t="s">
        <v>299</v>
      </c>
      <c r="E259">
        <v>0</v>
      </c>
    </row>
    <row r="260" spans="2:5" x14ac:dyDescent="0.25">
      <c r="B260" t="s">
        <v>8</v>
      </c>
      <c r="C260" t="s">
        <v>300</v>
      </c>
      <c r="D260" t="s">
        <v>301</v>
      </c>
      <c r="E260">
        <v>0</v>
      </c>
    </row>
    <row r="261" spans="2:5" x14ac:dyDescent="0.25">
      <c r="B261" t="s">
        <v>8</v>
      </c>
      <c r="C261" t="s">
        <v>302</v>
      </c>
      <c r="D261" t="s">
        <v>303</v>
      </c>
      <c r="E261">
        <v>0</v>
      </c>
    </row>
    <row r="262" spans="2:5" x14ac:dyDescent="0.25">
      <c r="B262" t="s">
        <v>8</v>
      </c>
      <c r="C262" t="s">
        <v>302</v>
      </c>
      <c r="D262" t="s">
        <v>303</v>
      </c>
      <c r="E262">
        <v>0</v>
      </c>
    </row>
    <row r="263" spans="2:5" x14ac:dyDescent="0.25">
      <c r="B263" t="s">
        <v>17</v>
      </c>
      <c r="C263" t="s">
        <v>304</v>
      </c>
      <c r="D263" t="s">
        <v>305</v>
      </c>
      <c r="E263">
        <v>0</v>
      </c>
    </row>
    <row r="264" spans="2:5" x14ac:dyDescent="0.25">
      <c r="B264" t="s">
        <v>306</v>
      </c>
      <c r="C264" t="s">
        <v>307</v>
      </c>
      <c r="D264" t="s">
        <v>308</v>
      </c>
      <c r="E264">
        <v>14</v>
      </c>
    </row>
    <row r="265" spans="2:5" x14ac:dyDescent="0.25">
      <c r="B265" t="s">
        <v>306</v>
      </c>
      <c r="C265" t="s">
        <v>309</v>
      </c>
      <c r="D265" t="s">
        <v>310</v>
      </c>
      <c r="E265">
        <v>0</v>
      </c>
    </row>
    <row r="266" spans="2:5" x14ac:dyDescent="0.25">
      <c r="B266" t="s">
        <v>11</v>
      </c>
      <c r="C266" t="s">
        <v>311</v>
      </c>
      <c r="D266" t="s">
        <v>312</v>
      </c>
      <c r="E266">
        <v>150</v>
      </c>
    </row>
    <row r="267" spans="2:5" x14ac:dyDescent="0.25">
      <c r="B267" t="s">
        <v>313</v>
      </c>
      <c r="C267" t="s">
        <v>314</v>
      </c>
      <c r="D267" t="s">
        <v>315</v>
      </c>
      <c r="E267">
        <v>0</v>
      </c>
    </row>
    <row r="268" spans="2:5" x14ac:dyDescent="0.25">
      <c r="B268" t="s">
        <v>14</v>
      </c>
      <c r="C268" t="s">
        <v>316</v>
      </c>
      <c r="D268" t="s">
        <v>317</v>
      </c>
      <c r="E268">
        <v>0</v>
      </c>
    </row>
    <row r="269" spans="2:5" x14ac:dyDescent="0.25">
      <c r="B269" t="s">
        <v>14</v>
      </c>
      <c r="C269" t="s">
        <v>318</v>
      </c>
      <c r="D269" t="s">
        <v>319</v>
      </c>
      <c r="E269">
        <v>116</v>
      </c>
    </row>
    <row r="270" spans="2:5" x14ac:dyDescent="0.25">
      <c r="B270" t="s">
        <v>14</v>
      </c>
      <c r="C270" t="s">
        <v>320</v>
      </c>
      <c r="D270" t="s">
        <v>321</v>
      </c>
      <c r="E270">
        <v>380</v>
      </c>
    </row>
    <row r="271" spans="2:5" x14ac:dyDescent="0.25">
      <c r="B271" t="s">
        <v>14</v>
      </c>
      <c r="C271" t="s">
        <v>320</v>
      </c>
      <c r="D271" t="s">
        <v>321</v>
      </c>
      <c r="E271">
        <v>0</v>
      </c>
    </row>
    <row r="272" spans="2:5" x14ac:dyDescent="0.25">
      <c r="B272" t="s">
        <v>49</v>
      </c>
      <c r="C272" t="s">
        <v>322</v>
      </c>
      <c r="D272" t="s">
        <v>323</v>
      </c>
      <c r="E272">
        <v>10000</v>
      </c>
    </row>
    <row r="273" spans="2:5" x14ac:dyDescent="0.25">
      <c r="B273" t="s">
        <v>49</v>
      </c>
      <c r="C273" t="s">
        <v>322</v>
      </c>
      <c r="D273" t="s">
        <v>323</v>
      </c>
      <c r="E273">
        <v>6560</v>
      </c>
    </row>
    <row r="274" spans="2:5" x14ac:dyDescent="0.25">
      <c r="B274" t="s">
        <v>73</v>
      </c>
      <c r="C274" t="s">
        <v>324</v>
      </c>
      <c r="D274" t="s">
        <v>325</v>
      </c>
      <c r="E274">
        <v>0</v>
      </c>
    </row>
    <row r="275" spans="2:5" x14ac:dyDescent="0.25">
      <c r="B275" t="s">
        <v>91</v>
      </c>
      <c r="C275" t="s">
        <v>326</v>
      </c>
      <c r="D275" t="s">
        <v>327</v>
      </c>
      <c r="E275">
        <v>0</v>
      </c>
    </row>
    <row r="276" spans="2:5" x14ac:dyDescent="0.25">
      <c r="B276" t="s">
        <v>328</v>
      </c>
      <c r="C276" t="s">
        <v>329</v>
      </c>
      <c r="D276" t="s">
        <v>330</v>
      </c>
      <c r="E276">
        <v>0</v>
      </c>
    </row>
    <row r="277" spans="2:5" x14ac:dyDescent="0.25">
      <c r="B277" t="s">
        <v>195</v>
      </c>
      <c r="C277" t="s">
        <v>331</v>
      </c>
      <c r="D277" t="s">
        <v>332</v>
      </c>
      <c r="E277">
        <v>0</v>
      </c>
    </row>
    <row r="278" spans="2:5" x14ac:dyDescent="0.25">
      <c r="B278" t="s">
        <v>70</v>
      </c>
      <c r="C278" t="s">
        <v>333</v>
      </c>
      <c r="D278" t="s">
        <v>334</v>
      </c>
      <c r="E278">
        <v>0</v>
      </c>
    </row>
    <row r="279" spans="2:5" x14ac:dyDescent="0.25">
      <c r="B279" t="s">
        <v>55</v>
      </c>
      <c r="C279" t="s">
        <v>335</v>
      </c>
      <c r="D279" t="s">
        <v>336</v>
      </c>
      <c r="E279">
        <v>5</v>
      </c>
    </row>
    <row r="280" spans="2:5" x14ac:dyDescent="0.25">
      <c r="B280" t="s">
        <v>58</v>
      </c>
      <c r="C280" t="s">
        <v>337</v>
      </c>
      <c r="D280" t="s">
        <v>338</v>
      </c>
      <c r="E280">
        <v>0</v>
      </c>
    </row>
    <row r="281" spans="2:5" x14ac:dyDescent="0.25">
      <c r="B281" t="s">
        <v>61</v>
      </c>
      <c r="C281" t="s">
        <v>339</v>
      </c>
      <c r="D281" t="s">
        <v>340</v>
      </c>
      <c r="E281">
        <v>0</v>
      </c>
    </row>
    <row r="282" spans="2:5" x14ac:dyDescent="0.25">
      <c r="B282" t="s">
        <v>67</v>
      </c>
      <c r="C282" t="s">
        <v>341</v>
      </c>
      <c r="D282" t="s">
        <v>342</v>
      </c>
      <c r="E282">
        <v>0</v>
      </c>
    </row>
    <row r="283" spans="2:5" x14ac:dyDescent="0.25">
      <c r="B283" t="s">
        <v>343</v>
      </c>
      <c r="C283" t="s">
        <v>344</v>
      </c>
      <c r="D283" t="s">
        <v>345</v>
      </c>
      <c r="E283">
        <v>0</v>
      </c>
    </row>
    <row r="284" spans="2:5" x14ac:dyDescent="0.25">
      <c r="B284" t="s">
        <v>70</v>
      </c>
      <c r="C284" t="s">
        <v>346</v>
      </c>
      <c r="D284" t="s">
        <v>347</v>
      </c>
      <c r="E284">
        <v>0</v>
      </c>
    </row>
    <row r="285" spans="2:5" x14ac:dyDescent="0.25">
      <c r="B285" t="s">
        <v>70</v>
      </c>
      <c r="C285" t="s">
        <v>348</v>
      </c>
      <c r="D285" t="s">
        <v>349</v>
      </c>
      <c r="E285">
        <v>0</v>
      </c>
    </row>
    <row r="286" spans="2:5" x14ac:dyDescent="0.25">
      <c r="B286" t="s">
        <v>73</v>
      </c>
      <c r="C286" t="s">
        <v>324</v>
      </c>
      <c r="D286" t="s">
        <v>325</v>
      </c>
      <c r="E286">
        <v>0</v>
      </c>
    </row>
    <row r="287" spans="2:5" x14ac:dyDescent="0.25">
      <c r="B287" t="s">
        <v>73</v>
      </c>
      <c r="C287" t="s">
        <v>350</v>
      </c>
      <c r="D287" t="s">
        <v>351</v>
      </c>
      <c r="E287">
        <v>0</v>
      </c>
    </row>
    <row r="288" spans="2:5" x14ac:dyDescent="0.25">
      <c r="B288" t="s">
        <v>352</v>
      </c>
      <c r="C288" t="s">
        <v>353</v>
      </c>
      <c r="D288" t="s">
        <v>354</v>
      </c>
      <c r="E288">
        <v>0</v>
      </c>
    </row>
    <row r="289" spans="2:5" x14ac:dyDescent="0.25">
      <c r="B289" t="s">
        <v>86</v>
      </c>
      <c r="C289" t="s">
        <v>355</v>
      </c>
      <c r="D289" t="s">
        <v>356</v>
      </c>
      <c r="E289">
        <v>0</v>
      </c>
    </row>
    <row r="290" spans="2:5" x14ac:dyDescent="0.25">
      <c r="B290" t="s">
        <v>52</v>
      </c>
      <c r="C290" t="s">
        <v>357</v>
      </c>
      <c r="D290" t="s">
        <v>358</v>
      </c>
      <c r="E290">
        <v>0</v>
      </c>
    </row>
    <row r="291" spans="2:5" x14ac:dyDescent="0.25">
      <c r="B291" t="s">
        <v>52</v>
      </c>
      <c r="C291" t="s">
        <v>359</v>
      </c>
      <c r="D291" t="s">
        <v>360</v>
      </c>
      <c r="E291">
        <v>0</v>
      </c>
    </row>
    <row r="292" spans="2:5" x14ac:dyDescent="0.25">
      <c r="B292" t="s">
        <v>161</v>
      </c>
      <c r="C292" t="s">
        <v>361</v>
      </c>
      <c r="D292" t="s">
        <v>362</v>
      </c>
      <c r="E292">
        <v>0</v>
      </c>
    </row>
    <row r="293" spans="2:5" x14ac:dyDescent="0.25">
      <c r="B293" t="s">
        <v>8</v>
      </c>
      <c r="C293" t="s">
        <v>363</v>
      </c>
      <c r="D293" t="s">
        <v>364</v>
      </c>
      <c r="E293">
        <v>0</v>
      </c>
    </row>
    <row r="294" spans="2:5" x14ac:dyDescent="0.25">
      <c r="B294" t="s">
        <v>8</v>
      </c>
      <c r="C294" t="s">
        <v>365</v>
      </c>
      <c r="D294" t="s">
        <v>366</v>
      </c>
      <c r="E294">
        <v>0</v>
      </c>
    </row>
    <row r="295" spans="2:5" x14ac:dyDescent="0.25">
      <c r="B295" t="s">
        <v>20</v>
      </c>
      <c r="C295" t="s">
        <v>367</v>
      </c>
      <c r="D295" t="s">
        <v>368</v>
      </c>
      <c r="E295">
        <v>0</v>
      </c>
    </row>
    <row r="296" spans="2:5" x14ac:dyDescent="0.25">
      <c r="B296" t="s">
        <v>25</v>
      </c>
      <c r="C296" t="s">
        <v>369</v>
      </c>
      <c r="D296" t="s">
        <v>370</v>
      </c>
      <c r="E296">
        <v>0</v>
      </c>
    </row>
    <row r="297" spans="2:5" x14ac:dyDescent="0.25">
      <c r="B297" t="s">
        <v>14</v>
      </c>
      <c r="C297" t="s">
        <v>371</v>
      </c>
      <c r="D297" t="s">
        <v>372</v>
      </c>
      <c r="E297">
        <v>0</v>
      </c>
    </row>
    <row r="298" spans="2:5" x14ac:dyDescent="0.25">
      <c r="B298" t="s">
        <v>14</v>
      </c>
      <c r="C298" t="s">
        <v>373</v>
      </c>
      <c r="D298" t="s">
        <v>374</v>
      </c>
      <c r="E298">
        <v>0</v>
      </c>
    </row>
    <row r="299" spans="2:5" x14ac:dyDescent="0.25">
      <c r="B299" t="s">
        <v>14</v>
      </c>
      <c r="C299" t="s">
        <v>375</v>
      </c>
      <c r="D299" t="s">
        <v>376</v>
      </c>
      <c r="E299">
        <v>0</v>
      </c>
    </row>
    <row r="300" spans="2:5" x14ac:dyDescent="0.25">
      <c r="B300" t="s">
        <v>377</v>
      </c>
      <c r="C300" t="s">
        <v>378</v>
      </c>
      <c r="D300" t="s">
        <v>379</v>
      </c>
      <c r="E300">
        <v>0</v>
      </c>
    </row>
    <row r="301" spans="2:5" x14ac:dyDescent="0.25">
      <c r="B301" t="s">
        <v>380</v>
      </c>
      <c r="C301" t="s">
        <v>381</v>
      </c>
      <c r="D301" t="s">
        <v>382</v>
      </c>
      <c r="E301">
        <v>40</v>
      </c>
    </row>
    <row r="302" spans="2:5" x14ac:dyDescent="0.25">
      <c r="B302" t="s">
        <v>58</v>
      </c>
      <c r="C302" t="s">
        <v>383</v>
      </c>
      <c r="D302" t="s">
        <v>384</v>
      </c>
      <c r="E302">
        <v>0</v>
      </c>
    </row>
    <row r="303" spans="2:5" x14ac:dyDescent="0.25">
      <c r="B303" t="s">
        <v>385</v>
      </c>
      <c r="C303" t="s">
        <v>386</v>
      </c>
      <c r="D303" t="s">
        <v>387</v>
      </c>
      <c r="E303">
        <v>0</v>
      </c>
    </row>
    <row r="304" spans="2:5" x14ac:dyDescent="0.25">
      <c r="B304" t="s">
        <v>70</v>
      </c>
      <c r="C304" t="s">
        <v>388</v>
      </c>
      <c r="D304" t="s">
        <v>389</v>
      </c>
      <c r="E304">
        <v>0</v>
      </c>
    </row>
    <row r="305" spans="2:5" x14ac:dyDescent="0.25">
      <c r="B305" t="s">
        <v>64</v>
      </c>
      <c r="C305" t="s">
        <v>390</v>
      </c>
      <c r="D305" t="s">
        <v>391</v>
      </c>
      <c r="E305">
        <v>0</v>
      </c>
    </row>
    <row r="306" spans="2:5" x14ac:dyDescent="0.25">
      <c r="B306" t="s">
        <v>380</v>
      </c>
      <c r="C306" t="s">
        <v>381</v>
      </c>
      <c r="D306" t="s">
        <v>382</v>
      </c>
      <c r="E306">
        <v>0</v>
      </c>
    </row>
    <row r="307" spans="2:5" x14ac:dyDescent="0.25">
      <c r="B307" t="s">
        <v>140</v>
      </c>
      <c r="C307" t="s">
        <v>392</v>
      </c>
      <c r="D307" t="s">
        <v>393</v>
      </c>
      <c r="E307">
        <v>320</v>
      </c>
    </row>
    <row r="308" spans="2:5" x14ac:dyDescent="0.25">
      <c r="B308" t="s">
        <v>83</v>
      </c>
      <c r="C308" t="s">
        <v>394</v>
      </c>
      <c r="D308" t="s">
        <v>395</v>
      </c>
      <c r="E308">
        <v>200</v>
      </c>
    </row>
    <row r="309" spans="2:5" x14ac:dyDescent="0.25">
      <c r="B309" t="s">
        <v>17</v>
      </c>
      <c r="C309" t="s">
        <v>396</v>
      </c>
      <c r="D309" t="s">
        <v>397</v>
      </c>
      <c r="E309">
        <v>280</v>
      </c>
    </row>
    <row r="310" spans="2:5" x14ac:dyDescent="0.25">
      <c r="B310" t="s">
        <v>352</v>
      </c>
      <c r="C310" t="s">
        <v>398</v>
      </c>
      <c r="D310" t="s">
        <v>399</v>
      </c>
      <c r="E310">
        <v>0</v>
      </c>
    </row>
    <row r="311" spans="2:5" x14ac:dyDescent="0.25">
      <c r="B311" t="s">
        <v>546</v>
      </c>
      <c r="C311" t="s">
        <v>1212</v>
      </c>
      <c r="D311" t="s">
        <v>1213</v>
      </c>
      <c r="E311">
        <v>31</v>
      </c>
    </row>
    <row r="312" spans="2:5" x14ac:dyDescent="0.25">
      <c r="B312" t="s">
        <v>109</v>
      </c>
      <c r="C312" t="s">
        <v>1214</v>
      </c>
      <c r="D312" t="s">
        <v>1215</v>
      </c>
      <c r="E312">
        <v>340</v>
      </c>
    </row>
    <row r="313" spans="2:5" x14ac:dyDescent="0.25">
      <c r="B313" t="s">
        <v>380</v>
      </c>
      <c r="C313" t="s">
        <v>381</v>
      </c>
      <c r="D313" t="s">
        <v>382</v>
      </c>
      <c r="E313">
        <v>0</v>
      </c>
    </row>
    <row r="314" spans="2:5" x14ac:dyDescent="0.25">
      <c r="B314" t="s">
        <v>551</v>
      </c>
      <c r="C314" t="s">
        <v>1216</v>
      </c>
      <c r="D314" t="s">
        <v>1217</v>
      </c>
      <c r="E314">
        <v>230</v>
      </c>
    </row>
    <row r="315" spans="2:5" x14ac:dyDescent="0.25">
      <c r="B315" t="s">
        <v>217</v>
      </c>
      <c r="C315" t="s">
        <v>931</v>
      </c>
      <c r="D315" t="s">
        <v>932</v>
      </c>
      <c r="E315">
        <v>0</v>
      </c>
    </row>
    <row r="316" spans="2:5" x14ac:dyDescent="0.25">
      <c r="B316" t="s">
        <v>148</v>
      </c>
      <c r="C316" t="s">
        <v>923</v>
      </c>
      <c r="D316" t="s">
        <v>924</v>
      </c>
      <c r="E316">
        <v>524</v>
      </c>
    </row>
    <row r="317" spans="2:5" x14ac:dyDescent="0.25">
      <c r="B317" t="s">
        <v>148</v>
      </c>
      <c r="C317" t="s">
        <v>1218</v>
      </c>
      <c r="D317" t="s">
        <v>1219</v>
      </c>
      <c r="E317">
        <v>50</v>
      </c>
    </row>
    <row r="318" spans="2:5" x14ac:dyDescent="0.25">
      <c r="B318" t="s">
        <v>140</v>
      </c>
      <c r="C318" t="s">
        <v>1220</v>
      </c>
      <c r="D318" t="s">
        <v>1221</v>
      </c>
      <c r="E318">
        <v>10</v>
      </c>
    </row>
    <row r="319" spans="2:5" x14ac:dyDescent="0.25">
      <c r="B319" t="s">
        <v>140</v>
      </c>
      <c r="C319" t="s">
        <v>1222</v>
      </c>
      <c r="D319" t="s">
        <v>1223</v>
      </c>
      <c r="E319">
        <v>0</v>
      </c>
    </row>
    <row r="320" spans="2:5" x14ac:dyDescent="0.25">
      <c r="B320" t="s">
        <v>217</v>
      </c>
      <c r="C320" t="s">
        <v>1224</v>
      </c>
      <c r="D320" t="s">
        <v>1225</v>
      </c>
      <c r="E320">
        <v>0</v>
      </c>
    </row>
    <row r="321" spans="2:5" x14ac:dyDescent="0.25">
      <c r="B321" t="s">
        <v>195</v>
      </c>
      <c r="C321" t="s">
        <v>1226</v>
      </c>
      <c r="D321" t="s">
        <v>1227</v>
      </c>
      <c r="E321">
        <v>0</v>
      </c>
    </row>
    <row r="322" spans="2:5" x14ac:dyDescent="0.25">
      <c r="B322" t="s">
        <v>195</v>
      </c>
      <c r="C322" t="s">
        <v>1228</v>
      </c>
      <c r="D322" t="s">
        <v>1229</v>
      </c>
      <c r="E322">
        <v>0</v>
      </c>
    </row>
    <row r="323" spans="2:5" x14ac:dyDescent="0.25">
      <c r="B323" t="s">
        <v>64</v>
      </c>
      <c r="C323" t="s">
        <v>390</v>
      </c>
      <c r="D323" t="s">
        <v>391</v>
      </c>
      <c r="E323">
        <v>2000</v>
      </c>
    </row>
    <row r="324" spans="2:5" x14ac:dyDescent="0.25">
      <c r="B324" t="s">
        <v>705</v>
      </c>
      <c r="C324" t="s">
        <v>1230</v>
      </c>
      <c r="D324" t="s">
        <v>1231</v>
      </c>
      <c r="E324">
        <v>123</v>
      </c>
    </row>
    <row r="325" spans="2:5" x14ac:dyDescent="0.25">
      <c r="B325" t="s">
        <v>797</v>
      </c>
      <c r="C325" t="s">
        <v>1232</v>
      </c>
      <c r="D325" t="s">
        <v>1233</v>
      </c>
      <c r="E325">
        <v>0</v>
      </c>
    </row>
    <row r="326" spans="2:5" x14ac:dyDescent="0.25">
      <c r="B326" t="s">
        <v>70</v>
      </c>
      <c r="C326" t="s">
        <v>1234</v>
      </c>
      <c r="D326" t="s">
        <v>1235</v>
      </c>
      <c r="E326">
        <v>0</v>
      </c>
    </row>
    <row r="327" spans="2:5" x14ac:dyDescent="0.25">
      <c r="B327" t="s">
        <v>518</v>
      </c>
      <c r="C327" t="s">
        <v>1236</v>
      </c>
      <c r="D327" t="s">
        <v>1237</v>
      </c>
      <c r="E327">
        <v>0</v>
      </c>
    </row>
    <row r="328" spans="2:5" x14ac:dyDescent="0.25">
      <c r="B328" t="s">
        <v>705</v>
      </c>
      <c r="C328" t="s">
        <v>1230</v>
      </c>
      <c r="D328" t="s">
        <v>1231</v>
      </c>
      <c r="E328">
        <v>0</v>
      </c>
    </row>
    <row r="329" spans="2:5" x14ac:dyDescent="0.25">
      <c r="B329" t="s">
        <v>1238</v>
      </c>
      <c r="C329" t="s">
        <v>1239</v>
      </c>
      <c r="D329" t="s">
        <v>1240</v>
      </c>
      <c r="E329">
        <v>0</v>
      </c>
    </row>
    <row r="330" spans="2:5" x14ac:dyDescent="0.25">
      <c r="B330" t="s">
        <v>352</v>
      </c>
      <c r="C330" t="s">
        <v>1241</v>
      </c>
      <c r="D330" t="s">
        <v>1242</v>
      </c>
      <c r="E330">
        <v>0</v>
      </c>
    </row>
    <row r="331" spans="2:5" x14ac:dyDescent="0.25">
      <c r="B331" t="s">
        <v>352</v>
      </c>
      <c r="C331" t="s">
        <v>1243</v>
      </c>
      <c r="D331" t="s">
        <v>1244</v>
      </c>
      <c r="E331">
        <v>0</v>
      </c>
    </row>
    <row r="332" spans="2:5" x14ac:dyDescent="0.25">
      <c r="B332" t="s">
        <v>546</v>
      </c>
      <c r="C332" t="s">
        <v>1245</v>
      </c>
      <c r="D332" t="s">
        <v>1246</v>
      </c>
      <c r="E332">
        <v>0</v>
      </c>
    </row>
    <row r="333" spans="2:5" x14ac:dyDescent="0.25">
      <c r="B333" t="s">
        <v>217</v>
      </c>
      <c r="C333" t="s">
        <v>1247</v>
      </c>
      <c r="D333" t="s">
        <v>1248</v>
      </c>
      <c r="E333">
        <v>0</v>
      </c>
    </row>
    <row r="334" spans="2:5" x14ac:dyDescent="0.25">
      <c r="B334" t="s">
        <v>1249</v>
      </c>
      <c r="C334" t="s">
        <v>1250</v>
      </c>
      <c r="D334" t="s">
        <v>1251</v>
      </c>
      <c r="E334">
        <v>0</v>
      </c>
    </row>
    <row r="335" spans="2:5" x14ac:dyDescent="0.25">
      <c r="B335" t="s">
        <v>109</v>
      </c>
      <c r="C335" t="s">
        <v>1252</v>
      </c>
      <c r="D335" t="s">
        <v>1253</v>
      </c>
      <c r="E335">
        <v>0</v>
      </c>
    </row>
    <row r="336" spans="2:5" x14ac:dyDescent="0.25">
      <c r="B336" t="s">
        <v>1129</v>
      </c>
      <c r="C336" t="s">
        <v>1254</v>
      </c>
      <c r="D336" t="s">
        <v>1255</v>
      </c>
      <c r="E336">
        <v>559</v>
      </c>
    </row>
    <row r="337" spans="2:5" x14ac:dyDescent="0.25">
      <c r="B337" t="s">
        <v>623</v>
      </c>
      <c r="C337" t="s">
        <v>871</v>
      </c>
      <c r="D337" t="s">
        <v>872</v>
      </c>
      <c r="E337">
        <v>0</v>
      </c>
    </row>
    <row r="338" spans="2:5" x14ac:dyDescent="0.25">
      <c r="B338" t="s">
        <v>52</v>
      </c>
      <c r="C338" t="s">
        <v>1256</v>
      </c>
      <c r="D338" t="s">
        <v>1257</v>
      </c>
      <c r="E338">
        <v>0</v>
      </c>
    </row>
    <row r="339" spans="2:5" x14ac:dyDescent="0.25">
      <c r="B339" t="s">
        <v>521</v>
      </c>
      <c r="C339" t="s">
        <v>1258</v>
      </c>
      <c r="D339" t="s">
        <v>1259</v>
      </c>
      <c r="E339">
        <v>0</v>
      </c>
    </row>
    <row r="340" spans="2:5" x14ac:dyDescent="0.25">
      <c r="B340" t="s">
        <v>203</v>
      </c>
      <c r="C340" t="s">
        <v>1260</v>
      </c>
      <c r="D340" t="s">
        <v>1261</v>
      </c>
      <c r="E340">
        <v>0</v>
      </c>
    </row>
    <row r="341" spans="2:5" x14ac:dyDescent="0.25">
      <c r="B341" t="s">
        <v>546</v>
      </c>
      <c r="C341" t="s">
        <v>1262</v>
      </c>
      <c r="D341" t="s">
        <v>1263</v>
      </c>
      <c r="E341">
        <v>555</v>
      </c>
    </row>
    <row r="342" spans="2:5" x14ac:dyDescent="0.25">
      <c r="B342" t="s">
        <v>352</v>
      </c>
      <c r="C342" t="s">
        <v>1194</v>
      </c>
      <c r="D342" t="s">
        <v>1195</v>
      </c>
      <c r="E342">
        <v>0</v>
      </c>
    </row>
    <row r="343" spans="2:5" x14ac:dyDescent="0.25">
      <c r="B343" t="s">
        <v>352</v>
      </c>
      <c r="C343" t="s">
        <v>1457</v>
      </c>
      <c r="D343" t="s">
        <v>1458</v>
      </c>
      <c r="E343">
        <v>0</v>
      </c>
    </row>
    <row r="344" spans="2:5" x14ac:dyDescent="0.25">
      <c r="B344" t="s">
        <v>80</v>
      </c>
      <c r="C344" t="s">
        <v>1459</v>
      </c>
      <c r="D344" t="s">
        <v>1460</v>
      </c>
      <c r="E344">
        <v>0</v>
      </c>
    </row>
    <row r="345" spans="2:5" x14ac:dyDescent="0.25">
      <c r="B345" t="s">
        <v>203</v>
      </c>
      <c r="C345" t="s">
        <v>1461</v>
      </c>
      <c r="D345" t="s">
        <v>1462</v>
      </c>
      <c r="E345">
        <v>0</v>
      </c>
    </row>
    <row r="346" spans="2:5" x14ac:dyDescent="0.25">
      <c r="B346" t="s">
        <v>1463</v>
      </c>
      <c r="C346" t="s">
        <v>1464</v>
      </c>
      <c r="D346" t="s">
        <v>1465</v>
      </c>
      <c r="E346">
        <v>0</v>
      </c>
    </row>
    <row r="347" spans="2:5" x14ac:dyDescent="0.25">
      <c r="B347" t="s">
        <v>14</v>
      </c>
      <c r="C347" t="s">
        <v>1010</v>
      </c>
      <c r="D347" t="s">
        <v>1011</v>
      </c>
      <c r="E347">
        <v>0</v>
      </c>
    </row>
    <row r="348" spans="2:5" x14ac:dyDescent="0.25">
      <c r="B348" t="s">
        <v>83</v>
      </c>
      <c r="C348" t="s">
        <v>1466</v>
      </c>
      <c r="D348" t="s">
        <v>1467</v>
      </c>
      <c r="E348">
        <v>0</v>
      </c>
    </row>
    <row r="349" spans="2:5" x14ac:dyDescent="0.25">
      <c r="B349" t="s">
        <v>83</v>
      </c>
      <c r="C349" t="s">
        <v>1468</v>
      </c>
      <c r="D349" t="s">
        <v>1469</v>
      </c>
      <c r="E349">
        <v>0</v>
      </c>
    </row>
    <row r="350" spans="2:5" x14ac:dyDescent="0.25">
      <c r="B350" t="s">
        <v>11</v>
      </c>
      <c r="C350" t="s">
        <v>1324</v>
      </c>
      <c r="D350" t="s">
        <v>1325</v>
      </c>
      <c r="E350">
        <v>0</v>
      </c>
    </row>
    <row r="351" spans="2:5" x14ac:dyDescent="0.25">
      <c r="B351" t="s">
        <v>80</v>
      </c>
      <c r="C351" t="s">
        <v>1470</v>
      </c>
      <c r="D351" t="s">
        <v>1471</v>
      </c>
      <c r="E351">
        <v>180</v>
      </c>
    </row>
    <row r="352" spans="2:5" x14ac:dyDescent="0.25">
      <c r="B352" t="s">
        <v>28</v>
      </c>
      <c r="C352" t="s">
        <v>1472</v>
      </c>
      <c r="D352" t="s">
        <v>1473</v>
      </c>
      <c r="E352">
        <v>9855</v>
      </c>
    </row>
    <row r="353" spans="2:5" x14ac:dyDescent="0.25">
      <c r="B353" t="s">
        <v>80</v>
      </c>
      <c r="C353" t="s">
        <v>1474</v>
      </c>
      <c r="D353" t="s">
        <v>1475</v>
      </c>
      <c r="E353">
        <v>39</v>
      </c>
    </row>
    <row r="354" spans="2:5" x14ac:dyDescent="0.25">
      <c r="B354" t="s">
        <v>1249</v>
      </c>
      <c r="C354" t="s">
        <v>1476</v>
      </c>
      <c r="D354" t="s">
        <v>1477</v>
      </c>
      <c r="E354">
        <v>0</v>
      </c>
    </row>
    <row r="355" spans="2:5" x14ac:dyDescent="0.25">
      <c r="B355" t="s">
        <v>14</v>
      </c>
      <c r="C355" t="s">
        <v>1010</v>
      </c>
      <c r="D355" t="s">
        <v>1011</v>
      </c>
      <c r="E355">
        <v>0</v>
      </c>
    </row>
    <row r="356" spans="2:5" x14ac:dyDescent="0.25">
      <c r="B356" t="s">
        <v>551</v>
      </c>
      <c r="C356" t="s">
        <v>552</v>
      </c>
      <c r="D356" t="s">
        <v>553</v>
      </c>
      <c r="E356">
        <v>6760</v>
      </c>
    </row>
    <row r="357" spans="2:5" x14ac:dyDescent="0.25">
      <c r="B357" t="s">
        <v>148</v>
      </c>
      <c r="C357" t="s">
        <v>1045</v>
      </c>
      <c r="D357" t="s">
        <v>1046</v>
      </c>
      <c r="E357">
        <v>0</v>
      </c>
    </row>
    <row r="358" spans="2:5" x14ac:dyDescent="0.25">
      <c r="B358" t="s">
        <v>20</v>
      </c>
      <c r="C358" t="s">
        <v>1478</v>
      </c>
      <c r="D358" t="s">
        <v>1479</v>
      </c>
      <c r="E358">
        <v>0</v>
      </c>
    </row>
    <row r="359" spans="2:5" x14ac:dyDescent="0.25">
      <c r="B359" t="s">
        <v>52</v>
      </c>
      <c r="C359" t="s">
        <v>1480</v>
      </c>
      <c r="D359" t="s">
        <v>1481</v>
      </c>
      <c r="E359">
        <v>0</v>
      </c>
    </row>
    <row r="360" spans="2:5" x14ac:dyDescent="0.25">
      <c r="B360" t="s">
        <v>52</v>
      </c>
      <c r="C360" t="s">
        <v>1482</v>
      </c>
      <c r="D360" t="s">
        <v>1483</v>
      </c>
      <c r="E360">
        <v>0</v>
      </c>
    </row>
    <row r="361" spans="2:5" x14ac:dyDescent="0.25">
      <c r="B361" t="s">
        <v>195</v>
      </c>
      <c r="C361" t="s">
        <v>1047</v>
      </c>
      <c r="D361" t="s">
        <v>1048</v>
      </c>
      <c r="E361">
        <v>30</v>
      </c>
    </row>
    <row r="362" spans="2:5" x14ac:dyDescent="0.25">
      <c r="B362" t="s">
        <v>131</v>
      </c>
      <c r="C362" t="s">
        <v>1484</v>
      </c>
      <c r="D362" t="s">
        <v>1485</v>
      </c>
      <c r="E362">
        <v>0</v>
      </c>
    </row>
    <row r="363" spans="2:5" x14ac:dyDescent="0.25">
      <c r="B363" t="s">
        <v>521</v>
      </c>
      <c r="C363" t="s">
        <v>1486</v>
      </c>
      <c r="D363" t="s">
        <v>1487</v>
      </c>
      <c r="E363">
        <v>0</v>
      </c>
    </row>
    <row r="364" spans="2:5" x14ac:dyDescent="0.25">
      <c r="B364" t="s">
        <v>521</v>
      </c>
      <c r="C364" t="s">
        <v>1488</v>
      </c>
      <c r="D364" t="s">
        <v>1489</v>
      </c>
      <c r="E364">
        <v>0</v>
      </c>
    </row>
    <row r="365" spans="2:5" x14ac:dyDescent="0.25">
      <c r="B365" t="s">
        <v>203</v>
      </c>
      <c r="C365" t="s">
        <v>1490</v>
      </c>
      <c r="D365" t="s">
        <v>1491</v>
      </c>
      <c r="E365">
        <v>0</v>
      </c>
    </row>
    <row r="366" spans="2:5" x14ac:dyDescent="0.25">
      <c r="B366" t="s">
        <v>140</v>
      </c>
      <c r="C366" t="s">
        <v>570</v>
      </c>
      <c r="D366" t="s">
        <v>571</v>
      </c>
      <c r="E366">
        <v>232</v>
      </c>
    </row>
    <row r="367" spans="2:5" x14ac:dyDescent="0.25">
      <c r="B367" t="s">
        <v>195</v>
      </c>
      <c r="C367" t="s">
        <v>1492</v>
      </c>
      <c r="D367" t="s">
        <v>1493</v>
      </c>
      <c r="E367">
        <v>0</v>
      </c>
    </row>
    <row r="368" spans="2:5" x14ac:dyDescent="0.25">
      <c r="B368" t="s">
        <v>217</v>
      </c>
      <c r="C368" t="s">
        <v>1264</v>
      </c>
      <c r="D368" t="s">
        <v>1265</v>
      </c>
      <c r="E368">
        <v>0</v>
      </c>
    </row>
    <row r="369" spans="2:5" x14ac:dyDescent="0.25">
      <c r="B369" t="s">
        <v>145</v>
      </c>
      <c r="C369" t="s">
        <v>490</v>
      </c>
      <c r="D369" t="s">
        <v>491</v>
      </c>
      <c r="E369">
        <v>0</v>
      </c>
    </row>
    <row r="370" spans="2:5" x14ac:dyDescent="0.25">
      <c r="B370" t="s">
        <v>1494</v>
      </c>
      <c r="C370" t="s">
        <v>1495</v>
      </c>
      <c r="D370" t="s">
        <v>1496</v>
      </c>
      <c r="E370">
        <v>0</v>
      </c>
    </row>
    <row r="371" spans="2:5" x14ac:dyDescent="0.25">
      <c r="B371" t="s">
        <v>250</v>
      </c>
      <c r="C371" t="s">
        <v>1497</v>
      </c>
      <c r="D371" t="s">
        <v>1498</v>
      </c>
      <c r="E371">
        <v>0</v>
      </c>
    </row>
    <row r="372" spans="2:5" x14ac:dyDescent="0.25">
      <c r="B372" t="s">
        <v>214</v>
      </c>
      <c r="C372" t="s">
        <v>1499</v>
      </c>
      <c r="D372" t="s">
        <v>1500</v>
      </c>
      <c r="E372">
        <v>0</v>
      </c>
    </row>
    <row r="373" spans="2:5" x14ac:dyDescent="0.25">
      <c r="B373" t="s">
        <v>25</v>
      </c>
      <c r="C373" t="s">
        <v>470</v>
      </c>
      <c r="D373" t="s">
        <v>471</v>
      </c>
      <c r="E373">
        <v>0</v>
      </c>
    </row>
    <row r="374" spans="2:5" x14ac:dyDescent="0.25">
      <c r="B374" t="s">
        <v>80</v>
      </c>
      <c r="C374" t="s">
        <v>572</v>
      </c>
      <c r="D374" t="s">
        <v>573</v>
      </c>
      <c r="E374">
        <v>0</v>
      </c>
    </row>
    <row r="375" spans="2:5" x14ac:dyDescent="0.25">
      <c r="B375" t="s">
        <v>11</v>
      </c>
      <c r="C375" t="s">
        <v>1326</v>
      </c>
      <c r="D375" t="s">
        <v>1327</v>
      </c>
      <c r="E375">
        <v>0</v>
      </c>
    </row>
    <row r="376" spans="2:5" x14ac:dyDescent="0.25">
      <c r="B376" t="s">
        <v>250</v>
      </c>
      <c r="C376" t="s">
        <v>1497</v>
      </c>
      <c r="D376" t="s">
        <v>1498</v>
      </c>
      <c r="E376">
        <v>0</v>
      </c>
    </row>
    <row r="377" spans="2:5" x14ac:dyDescent="0.25">
      <c r="B377" t="s">
        <v>14</v>
      </c>
      <c r="C377" t="s">
        <v>1012</v>
      </c>
      <c r="D377" t="s">
        <v>1013</v>
      </c>
      <c r="E377">
        <v>0</v>
      </c>
    </row>
    <row r="378" spans="2:5" x14ac:dyDescent="0.25">
      <c r="B378" t="s">
        <v>1494</v>
      </c>
      <c r="C378" t="s">
        <v>1495</v>
      </c>
      <c r="D378" t="s">
        <v>1496</v>
      </c>
      <c r="E378">
        <v>2750</v>
      </c>
    </row>
    <row r="379" spans="2:5" x14ac:dyDescent="0.25">
      <c r="B379" t="s">
        <v>272</v>
      </c>
      <c r="C379" t="s">
        <v>574</v>
      </c>
      <c r="D379" t="s">
        <v>575</v>
      </c>
      <c r="E379">
        <v>0</v>
      </c>
    </row>
    <row r="380" spans="2:5" x14ac:dyDescent="0.25">
      <c r="B380" t="s">
        <v>120</v>
      </c>
      <c r="C380" t="s">
        <v>1014</v>
      </c>
      <c r="D380" t="s">
        <v>1015</v>
      </c>
      <c r="E380">
        <v>144</v>
      </c>
    </row>
    <row r="381" spans="2:5" x14ac:dyDescent="0.25">
      <c r="B381" t="s">
        <v>120</v>
      </c>
      <c r="C381" t="s">
        <v>540</v>
      </c>
      <c r="D381" t="s">
        <v>541</v>
      </c>
      <c r="E381">
        <v>4120</v>
      </c>
    </row>
    <row r="382" spans="2:5" x14ac:dyDescent="0.25">
      <c r="B382" t="s">
        <v>20</v>
      </c>
      <c r="C382" t="s">
        <v>1016</v>
      </c>
      <c r="D382" t="s">
        <v>1017</v>
      </c>
      <c r="E382">
        <v>0</v>
      </c>
    </row>
    <row r="383" spans="2:5" x14ac:dyDescent="0.25">
      <c r="B383" t="s">
        <v>551</v>
      </c>
      <c r="C383" t="s">
        <v>1018</v>
      </c>
      <c r="D383" t="s">
        <v>1019</v>
      </c>
      <c r="E383">
        <v>0</v>
      </c>
    </row>
    <row r="384" spans="2:5" x14ac:dyDescent="0.25">
      <c r="B384" t="s">
        <v>272</v>
      </c>
      <c r="C384" t="s">
        <v>574</v>
      </c>
      <c r="D384" t="s">
        <v>575</v>
      </c>
      <c r="E384">
        <v>140</v>
      </c>
    </row>
    <row r="385" spans="2:5" x14ac:dyDescent="0.25">
      <c r="B385" t="s">
        <v>1020</v>
      </c>
      <c r="C385" t="s">
        <v>1021</v>
      </c>
      <c r="D385" t="s">
        <v>1022</v>
      </c>
      <c r="E385">
        <v>0</v>
      </c>
    </row>
    <row r="386" spans="2:5" x14ac:dyDescent="0.25">
      <c r="B386" t="s">
        <v>203</v>
      </c>
      <c r="C386" t="s">
        <v>963</v>
      </c>
      <c r="D386" t="s">
        <v>964</v>
      </c>
      <c r="E386">
        <v>0</v>
      </c>
    </row>
    <row r="387" spans="2:5" x14ac:dyDescent="0.25">
      <c r="B387" t="s">
        <v>164</v>
      </c>
      <c r="C387" t="s">
        <v>538</v>
      </c>
      <c r="D387" t="s">
        <v>539</v>
      </c>
      <c r="E387">
        <v>0</v>
      </c>
    </row>
    <row r="388" spans="2:5" x14ac:dyDescent="0.25">
      <c r="B388" t="s">
        <v>114</v>
      </c>
      <c r="C388" t="s">
        <v>549</v>
      </c>
      <c r="D388" t="s">
        <v>550</v>
      </c>
      <c r="E388">
        <v>0</v>
      </c>
    </row>
    <row r="389" spans="2:5" x14ac:dyDescent="0.25">
      <c r="B389" t="s">
        <v>91</v>
      </c>
      <c r="C389" t="s">
        <v>1023</v>
      </c>
      <c r="D389" t="s">
        <v>1024</v>
      </c>
      <c r="E389">
        <v>0</v>
      </c>
    </row>
    <row r="390" spans="2:5" x14ac:dyDescent="0.25">
      <c r="B390" t="s">
        <v>91</v>
      </c>
      <c r="C390" t="s">
        <v>1025</v>
      </c>
      <c r="D390" t="s">
        <v>1026</v>
      </c>
      <c r="E390">
        <v>0</v>
      </c>
    </row>
    <row r="391" spans="2:5" x14ac:dyDescent="0.25">
      <c r="B391" t="s">
        <v>55</v>
      </c>
      <c r="C391" t="s">
        <v>1027</v>
      </c>
      <c r="D391" t="s">
        <v>1028</v>
      </c>
      <c r="E391">
        <v>0</v>
      </c>
    </row>
    <row r="392" spans="2:5" x14ac:dyDescent="0.25">
      <c r="B392" t="s">
        <v>55</v>
      </c>
      <c r="C392" t="s">
        <v>1029</v>
      </c>
      <c r="D392" t="s">
        <v>1030</v>
      </c>
      <c r="E392">
        <v>0</v>
      </c>
    </row>
    <row r="393" spans="2:5" x14ac:dyDescent="0.25">
      <c r="B393" t="s">
        <v>8</v>
      </c>
      <c r="C393" t="s">
        <v>1031</v>
      </c>
      <c r="D393" t="s">
        <v>1032</v>
      </c>
      <c r="E393">
        <v>0</v>
      </c>
    </row>
    <row r="394" spans="2:5" x14ac:dyDescent="0.25">
      <c r="B394" t="s">
        <v>8</v>
      </c>
      <c r="C394" t="s">
        <v>1033</v>
      </c>
      <c r="D394" t="s">
        <v>1034</v>
      </c>
      <c r="E394">
        <v>0</v>
      </c>
    </row>
    <row r="395" spans="2:5" x14ac:dyDescent="0.25">
      <c r="B395" t="s">
        <v>31</v>
      </c>
      <c r="C395" t="s">
        <v>1035</v>
      </c>
      <c r="D395" t="s">
        <v>1036</v>
      </c>
      <c r="E395">
        <v>0</v>
      </c>
    </row>
    <row r="396" spans="2:5" x14ac:dyDescent="0.25">
      <c r="B396" t="s">
        <v>25</v>
      </c>
      <c r="C396" t="s">
        <v>1037</v>
      </c>
      <c r="D396" t="s">
        <v>1038</v>
      </c>
      <c r="E396">
        <v>0</v>
      </c>
    </row>
    <row r="397" spans="2:5" x14ac:dyDescent="0.25">
      <c r="B397" t="s">
        <v>261</v>
      </c>
      <c r="C397" t="s">
        <v>1039</v>
      </c>
      <c r="D397" t="s">
        <v>1040</v>
      </c>
      <c r="E397">
        <v>0</v>
      </c>
    </row>
    <row r="398" spans="2:5" x14ac:dyDescent="0.25">
      <c r="B398" t="s">
        <v>14</v>
      </c>
      <c r="C398" t="s">
        <v>1041</v>
      </c>
      <c r="D398" t="s">
        <v>1042</v>
      </c>
      <c r="E398">
        <v>0</v>
      </c>
    </row>
    <row r="399" spans="2:5" x14ac:dyDescent="0.25">
      <c r="B399" t="s">
        <v>551</v>
      </c>
      <c r="C399" t="s">
        <v>552</v>
      </c>
      <c r="D399" t="s">
        <v>553</v>
      </c>
      <c r="E399">
        <v>0</v>
      </c>
    </row>
    <row r="400" spans="2:5" x14ac:dyDescent="0.25">
      <c r="B400" t="s">
        <v>40</v>
      </c>
      <c r="C400" t="s">
        <v>474</v>
      </c>
      <c r="D400" t="s">
        <v>475</v>
      </c>
      <c r="E400">
        <v>0</v>
      </c>
    </row>
    <row r="401" spans="2:5" x14ac:dyDescent="0.25">
      <c r="B401" t="s">
        <v>8</v>
      </c>
      <c r="C401" t="s">
        <v>1043</v>
      </c>
      <c r="D401" t="s">
        <v>1044</v>
      </c>
      <c r="E401">
        <v>0</v>
      </c>
    </row>
    <row r="402" spans="2:5" x14ac:dyDescent="0.25">
      <c r="B402" t="s">
        <v>120</v>
      </c>
      <c r="C402" t="s">
        <v>1014</v>
      </c>
      <c r="D402" t="s">
        <v>1015</v>
      </c>
      <c r="E402">
        <v>0</v>
      </c>
    </row>
    <row r="403" spans="2:5" x14ac:dyDescent="0.25">
      <c r="B403" t="s">
        <v>148</v>
      </c>
      <c r="C403" t="s">
        <v>1045</v>
      </c>
      <c r="D403" t="s">
        <v>1046</v>
      </c>
      <c r="E403">
        <v>0</v>
      </c>
    </row>
    <row r="404" spans="2:5" x14ac:dyDescent="0.25">
      <c r="B404" t="s">
        <v>195</v>
      </c>
      <c r="C404" t="s">
        <v>1047</v>
      </c>
      <c r="D404" t="s">
        <v>1048</v>
      </c>
      <c r="E404">
        <v>0</v>
      </c>
    </row>
    <row r="405" spans="2:5" x14ac:dyDescent="0.25">
      <c r="B405" t="s">
        <v>1005</v>
      </c>
      <c r="C405" t="s">
        <v>1006</v>
      </c>
      <c r="D405" t="s">
        <v>1007</v>
      </c>
      <c r="E405">
        <v>0</v>
      </c>
    </row>
    <row r="406" spans="2:5" x14ac:dyDescent="0.25">
      <c r="B406" t="s">
        <v>585</v>
      </c>
      <c r="C406" t="s">
        <v>1049</v>
      </c>
      <c r="D406" t="s">
        <v>1050</v>
      </c>
      <c r="E406">
        <v>0</v>
      </c>
    </row>
    <row r="407" spans="2:5" x14ac:dyDescent="0.25">
      <c r="B407" t="s">
        <v>148</v>
      </c>
      <c r="C407" t="s">
        <v>544</v>
      </c>
      <c r="D407" t="s">
        <v>545</v>
      </c>
      <c r="E407">
        <v>0</v>
      </c>
    </row>
    <row r="408" spans="2:5" x14ac:dyDescent="0.25">
      <c r="B408" t="s">
        <v>164</v>
      </c>
      <c r="C408" t="s">
        <v>538</v>
      </c>
      <c r="D408" t="s">
        <v>539</v>
      </c>
      <c r="E408">
        <v>0</v>
      </c>
    </row>
    <row r="409" spans="2:5" x14ac:dyDescent="0.25">
      <c r="B409" t="s">
        <v>52</v>
      </c>
      <c r="C409" t="s">
        <v>578</v>
      </c>
      <c r="D409" t="s">
        <v>579</v>
      </c>
      <c r="E409">
        <v>0</v>
      </c>
    </row>
    <row r="410" spans="2:5" x14ac:dyDescent="0.25">
      <c r="B410" t="s">
        <v>31</v>
      </c>
      <c r="C410" t="s">
        <v>580</v>
      </c>
      <c r="D410" t="s">
        <v>581</v>
      </c>
      <c r="E410">
        <v>16</v>
      </c>
    </row>
    <row r="411" spans="2:5" x14ac:dyDescent="0.25">
      <c r="B411" t="s">
        <v>11</v>
      </c>
      <c r="C411" t="s">
        <v>582</v>
      </c>
      <c r="D411" t="s">
        <v>583</v>
      </c>
      <c r="E411">
        <v>0</v>
      </c>
    </row>
    <row r="412" spans="2:5" x14ac:dyDescent="0.25">
      <c r="B412" t="s">
        <v>518</v>
      </c>
      <c r="C412" t="s">
        <v>584</v>
      </c>
      <c r="D412" t="s">
        <v>430</v>
      </c>
      <c r="E412">
        <v>0</v>
      </c>
    </row>
    <row r="413" spans="2:5" x14ac:dyDescent="0.25">
      <c r="B413" t="s">
        <v>585</v>
      </c>
      <c r="C413" t="s">
        <v>586</v>
      </c>
      <c r="D413" t="s">
        <v>587</v>
      </c>
      <c r="E413">
        <v>5980</v>
      </c>
    </row>
    <row r="414" spans="2:5" x14ac:dyDescent="0.25">
      <c r="B414" t="s">
        <v>20</v>
      </c>
      <c r="C414" t="s">
        <v>588</v>
      </c>
      <c r="D414" t="s">
        <v>589</v>
      </c>
      <c r="E414">
        <v>0</v>
      </c>
    </row>
    <row r="415" spans="2:5" x14ac:dyDescent="0.25">
      <c r="B415" t="s">
        <v>114</v>
      </c>
      <c r="C415" t="s">
        <v>549</v>
      </c>
      <c r="D415" t="s">
        <v>550</v>
      </c>
      <c r="E415">
        <v>0</v>
      </c>
    </row>
    <row r="416" spans="2:5" x14ac:dyDescent="0.25">
      <c r="B416" t="s">
        <v>164</v>
      </c>
      <c r="C416" t="s">
        <v>590</v>
      </c>
      <c r="D416" t="s">
        <v>591</v>
      </c>
      <c r="E416">
        <v>0</v>
      </c>
    </row>
    <row r="417" spans="2:5" x14ac:dyDescent="0.25">
      <c r="B417" t="s">
        <v>164</v>
      </c>
      <c r="C417" t="s">
        <v>590</v>
      </c>
      <c r="D417" t="s">
        <v>591</v>
      </c>
      <c r="E417">
        <v>0.01</v>
      </c>
    </row>
    <row r="418" spans="2:5" x14ac:dyDescent="0.25">
      <c r="B418" t="s">
        <v>52</v>
      </c>
      <c r="C418" t="s">
        <v>592</v>
      </c>
      <c r="D418" t="s">
        <v>593</v>
      </c>
      <c r="E418">
        <v>0</v>
      </c>
    </row>
    <row r="419" spans="2:5" x14ac:dyDescent="0.25">
      <c r="B419" t="s">
        <v>585</v>
      </c>
      <c r="C419" t="s">
        <v>594</v>
      </c>
      <c r="D419" t="s">
        <v>595</v>
      </c>
      <c r="E419">
        <v>9</v>
      </c>
    </row>
    <row r="420" spans="2:5" x14ac:dyDescent="0.25">
      <c r="B420" t="s">
        <v>156</v>
      </c>
      <c r="C420" t="s">
        <v>576</v>
      </c>
      <c r="D420" t="s">
        <v>577</v>
      </c>
      <c r="E420">
        <v>0</v>
      </c>
    </row>
    <row r="421" spans="2:5" x14ac:dyDescent="0.25">
      <c r="B421" t="s">
        <v>156</v>
      </c>
      <c r="C421" t="s">
        <v>576</v>
      </c>
      <c r="D421" t="s">
        <v>577</v>
      </c>
      <c r="E421">
        <v>0</v>
      </c>
    </row>
    <row r="422" spans="2:5" x14ac:dyDescent="0.25">
      <c r="B422" t="s">
        <v>237</v>
      </c>
      <c r="C422" t="s">
        <v>596</v>
      </c>
      <c r="D422" t="s">
        <v>597</v>
      </c>
      <c r="E422">
        <v>0</v>
      </c>
    </row>
    <row r="423" spans="2:5" x14ac:dyDescent="0.25">
      <c r="B423" t="s">
        <v>598</v>
      </c>
      <c r="C423" t="s">
        <v>599</v>
      </c>
      <c r="D423" t="s">
        <v>600</v>
      </c>
      <c r="E423">
        <v>6300</v>
      </c>
    </row>
    <row r="424" spans="2:5" x14ac:dyDescent="0.25">
      <c r="B424" t="s">
        <v>8</v>
      </c>
      <c r="C424" t="s">
        <v>601</v>
      </c>
      <c r="D424" t="s">
        <v>602</v>
      </c>
      <c r="E424">
        <v>0</v>
      </c>
    </row>
    <row r="425" spans="2:5" x14ac:dyDescent="0.25">
      <c r="B425" t="s">
        <v>20</v>
      </c>
      <c r="C425" t="s">
        <v>603</v>
      </c>
      <c r="D425" t="s">
        <v>604</v>
      </c>
      <c r="E425">
        <v>0</v>
      </c>
    </row>
    <row r="426" spans="2:5" x14ac:dyDescent="0.25">
      <c r="B426" t="s">
        <v>120</v>
      </c>
      <c r="C426" t="s">
        <v>951</v>
      </c>
      <c r="D426" t="s">
        <v>952</v>
      </c>
      <c r="E426">
        <v>0</v>
      </c>
    </row>
    <row r="427" spans="2:5" x14ac:dyDescent="0.25">
      <c r="B427" t="s">
        <v>8</v>
      </c>
      <c r="C427" t="s">
        <v>953</v>
      </c>
      <c r="D427" t="s">
        <v>954</v>
      </c>
      <c r="E427">
        <v>100</v>
      </c>
    </row>
    <row r="428" spans="2:5" x14ac:dyDescent="0.25">
      <c r="B428" t="s">
        <v>551</v>
      </c>
      <c r="C428" t="s">
        <v>1216</v>
      </c>
      <c r="D428" t="s">
        <v>1217</v>
      </c>
      <c r="E428">
        <v>0</v>
      </c>
    </row>
    <row r="429" spans="2:5" x14ac:dyDescent="0.25">
      <c r="B429" t="s">
        <v>8</v>
      </c>
      <c r="C429" t="s">
        <v>302</v>
      </c>
      <c r="D429" t="s">
        <v>303</v>
      </c>
      <c r="E429">
        <v>0</v>
      </c>
    </row>
    <row r="430" spans="2:5" x14ac:dyDescent="0.25">
      <c r="B430" t="s">
        <v>896</v>
      </c>
      <c r="C430" t="s">
        <v>897</v>
      </c>
      <c r="D430" t="s">
        <v>898</v>
      </c>
      <c r="E430">
        <v>120</v>
      </c>
    </row>
    <row r="431" spans="2:5" x14ac:dyDescent="0.25">
      <c r="B431" t="s">
        <v>164</v>
      </c>
      <c r="C431" t="s">
        <v>899</v>
      </c>
      <c r="D431" t="s">
        <v>900</v>
      </c>
      <c r="E431">
        <v>45</v>
      </c>
    </row>
    <row r="432" spans="2:5" x14ac:dyDescent="0.25">
      <c r="B432" t="s">
        <v>120</v>
      </c>
      <c r="C432" t="s">
        <v>901</v>
      </c>
      <c r="D432" t="s">
        <v>902</v>
      </c>
      <c r="E432">
        <v>50</v>
      </c>
    </row>
    <row r="433" spans="2:5" x14ac:dyDescent="0.25">
      <c r="B433" t="s">
        <v>352</v>
      </c>
      <c r="C433" t="s">
        <v>398</v>
      </c>
      <c r="D433" t="s">
        <v>399</v>
      </c>
      <c r="E433">
        <v>0</v>
      </c>
    </row>
    <row r="434" spans="2:5" x14ac:dyDescent="0.25">
      <c r="B434" t="s">
        <v>306</v>
      </c>
      <c r="C434" t="s">
        <v>307</v>
      </c>
      <c r="D434" t="s">
        <v>308</v>
      </c>
      <c r="E434">
        <v>0</v>
      </c>
    </row>
    <row r="435" spans="2:5" x14ac:dyDescent="0.25">
      <c r="B435" t="s">
        <v>134</v>
      </c>
      <c r="C435" t="s">
        <v>903</v>
      </c>
      <c r="D435" t="s">
        <v>904</v>
      </c>
      <c r="E435">
        <v>4820</v>
      </c>
    </row>
    <row r="436" spans="2:5" x14ac:dyDescent="0.25">
      <c r="B436" t="s">
        <v>91</v>
      </c>
      <c r="C436" t="s">
        <v>326</v>
      </c>
      <c r="D436" t="s">
        <v>327</v>
      </c>
      <c r="E436">
        <v>0</v>
      </c>
    </row>
    <row r="437" spans="2:5" x14ac:dyDescent="0.25">
      <c r="B437" t="s">
        <v>91</v>
      </c>
      <c r="C437" t="s">
        <v>905</v>
      </c>
      <c r="D437" t="s">
        <v>906</v>
      </c>
      <c r="E437">
        <v>0</v>
      </c>
    </row>
    <row r="438" spans="2:5" x14ac:dyDescent="0.25">
      <c r="B438" t="s">
        <v>8</v>
      </c>
      <c r="C438" t="s">
        <v>907</v>
      </c>
      <c r="D438" t="s">
        <v>908</v>
      </c>
      <c r="E438">
        <v>0</v>
      </c>
    </row>
    <row r="439" spans="2:5" x14ac:dyDescent="0.25">
      <c r="B439" t="s">
        <v>8</v>
      </c>
      <c r="C439" t="s">
        <v>909</v>
      </c>
      <c r="D439" t="s">
        <v>910</v>
      </c>
      <c r="E439">
        <v>0</v>
      </c>
    </row>
    <row r="440" spans="2:5" x14ac:dyDescent="0.25">
      <c r="B440" t="s">
        <v>31</v>
      </c>
      <c r="C440" t="s">
        <v>911</v>
      </c>
      <c r="D440" t="s">
        <v>912</v>
      </c>
      <c r="E440">
        <v>0</v>
      </c>
    </row>
    <row r="441" spans="2:5" x14ac:dyDescent="0.25">
      <c r="B441" t="s">
        <v>25</v>
      </c>
      <c r="C441" t="s">
        <v>913</v>
      </c>
      <c r="D441" t="s">
        <v>914</v>
      </c>
      <c r="E441">
        <v>0</v>
      </c>
    </row>
    <row r="442" spans="2:5" x14ac:dyDescent="0.25">
      <c r="B442" t="s">
        <v>25</v>
      </c>
      <c r="C442" t="s">
        <v>915</v>
      </c>
      <c r="D442" t="s">
        <v>916</v>
      </c>
      <c r="E442">
        <v>0</v>
      </c>
    </row>
    <row r="443" spans="2:5" x14ac:dyDescent="0.25">
      <c r="B443" t="s">
        <v>25</v>
      </c>
      <c r="C443" t="s">
        <v>917</v>
      </c>
      <c r="D443" t="s">
        <v>918</v>
      </c>
      <c r="E443">
        <v>0</v>
      </c>
    </row>
    <row r="444" spans="2:5" x14ac:dyDescent="0.25">
      <c r="B444" t="s">
        <v>261</v>
      </c>
      <c r="C444" t="s">
        <v>919</v>
      </c>
      <c r="D444" t="s">
        <v>920</v>
      </c>
      <c r="E444">
        <v>0</v>
      </c>
    </row>
    <row r="445" spans="2:5" x14ac:dyDescent="0.25">
      <c r="B445" t="s">
        <v>14</v>
      </c>
      <c r="C445" t="s">
        <v>921</v>
      </c>
      <c r="D445" t="s">
        <v>922</v>
      </c>
      <c r="E445">
        <v>0</v>
      </c>
    </row>
    <row r="446" spans="2:5" x14ac:dyDescent="0.25">
      <c r="B446" t="s">
        <v>209</v>
      </c>
      <c r="C446" t="s">
        <v>850</v>
      </c>
      <c r="D446" t="s">
        <v>851</v>
      </c>
      <c r="E446">
        <v>0</v>
      </c>
    </row>
    <row r="447" spans="2:5" x14ac:dyDescent="0.25">
      <c r="B447" t="s">
        <v>148</v>
      </c>
      <c r="C447" t="s">
        <v>923</v>
      </c>
      <c r="D447" t="s">
        <v>924</v>
      </c>
      <c r="E447">
        <v>0</v>
      </c>
    </row>
    <row r="448" spans="2:5" x14ac:dyDescent="0.25">
      <c r="B448" t="s">
        <v>623</v>
      </c>
      <c r="C448" t="s">
        <v>925</v>
      </c>
      <c r="D448" t="s">
        <v>926</v>
      </c>
      <c r="E448">
        <v>0</v>
      </c>
    </row>
    <row r="449" spans="2:5" x14ac:dyDescent="0.25">
      <c r="B449" t="s">
        <v>623</v>
      </c>
      <c r="C449" t="s">
        <v>871</v>
      </c>
      <c r="D449" t="s">
        <v>872</v>
      </c>
      <c r="E449">
        <v>0</v>
      </c>
    </row>
    <row r="450" spans="2:5" x14ac:dyDescent="0.25">
      <c r="B450" t="s">
        <v>164</v>
      </c>
      <c r="C450" t="s">
        <v>400</v>
      </c>
      <c r="D450" t="s">
        <v>401</v>
      </c>
      <c r="E450">
        <v>0</v>
      </c>
    </row>
    <row r="451" spans="2:5" x14ac:dyDescent="0.25">
      <c r="B451" t="s">
        <v>164</v>
      </c>
      <c r="C451" t="s">
        <v>402</v>
      </c>
      <c r="D451" t="s">
        <v>403</v>
      </c>
      <c r="E451">
        <v>0</v>
      </c>
    </row>
    <row r="452" spans="2:5" x14ac:dyDescent="0.25">
      <c r="B452" t="s">
        <v>80</v>
      </c>
      <c r="C452" t="s">
        <v>404</v>
      </c>
      <c r="D452" t="s">
        <v>405</v>
      </c>
      <c r="E452">
        <v>0</v>
      </c>
    </row>
    <row r="453" spans="2:5" x14ac:dyDescent="0.25">
      <c r="B453" t="s">
        <v>120</v>
      </c>
      <c r="C453" t="s">
        <v>406</v>
      </c>
      <c r="D453" t="s">
        <v>407</v>
      </c>
      <c r="E453">
        <v>0</v>
      </c>
    </row>
    <row r="454" spans="2:5" x14ac:dyDescent="0.25">
      <c r="B454" t="s">
        <v>408</v>
      </c>
      <c r="C454" t="s">
        <v>409</v>
      </c>
      <c r="D454" t="s">
        <v>410</v>
      </c>
      <c r="E454">
        <v>500</v>
      </c>
    </row>
    <row r="455" spans="2:5" x14ac:dyDescent="0.25">
      <c r="B455" t="s">
        <v>411</v>
      </c>
      <c r="C455" t="s">
        <v>412</v>
      </c>
      <c r="D455" t="s">
        <v>413</v>
      </c>
      <c r="E455">
        <v>1300</v>
      </c>
    </row>
    <row r="456" spans="2:5" x14ac:dyDescent="0.25">
      <c r="B456" t="s">
        <v>80</v>
      </c>
      <c r="C456" t="s">
        <v>414</v>
      </c>
      <c r="D456" t="s">
        <v>415</v>
      </c>
      <c r="E456">
        <v>0</v>
      </c>
    </row>
    <row r="457" spans="2:5" x14ac:dyDescent="0.25">
      <c r="B457" t="s">
        <v>164</v>
      </c>
      <c r="C457" t="s">
        <v>416</v>
      </c>
      <c r="D457" t="s">
        <v>417</v>
      </c>
      <c r="E457">
        <v>0</v>
      </c>
    </row>
    <row r="458" spans="2:5" x14ac:dyDescent="0.25">
      <c r="B458" t="s">
        <v>164</v>
      </c>
      <c r="C458" t="s">
        <v>416</v>
      </c>
      <c r="D458" t="s">
        <v>417</v>
      </c>
      <c r="E458">
        <v>0</v>
      </c>
    </row>
    <row r="459" spans="2:5" x14ac:dyDescent="0.25">
      <c r="B459" t="s">
        <v>418</v>
      </c>
      <c r="C459" t="s">
        <v>419</v>
      </c>
      <c r="D459" t="s">
        <v>420</v>
      </c>
      <c r="E459">
        <v>0</v>
      </c>
    </row>
    <row r="460" spans="2:5" x14ac:dyDescent="0.25">
      <c r="B460" t="s">
        <v>418</v>
      </c>
      <c r="C460" t="s">
        <v>419</v>
      </c>
      <c r="D460" t="s">
        <v>420</v>
      </c>
      <c r="E460">
        <v>600</v>
      </c>
    </row>
    <row r="461" spans="2:5" x14ac:dyDescent="0.25">
      <c r="B461" t="s">
        <v>186</v>
      </c>
      <c r="C461" t="s">
        <v>421</v>
      </c>
      <c r="D461" t="s">
        <v>422</v>
      </c>
      <c r="E461">
        <v>200</v>
      </c>
    </row>
    <row r="462" spans="2:5" x14ac:dyDescent="0.25">
      <c r="B462" t="s">
        <v>418</v>
      </c>
      <c r="C462" t="s">
        <v>419</v>
      </c>
      <c r="D462" t="s">
        <v>420</v>
      </c>
      <c r="E462">
        <v>0</v>
      </c>
    </row>
    <row r="463" spans="2:5" x14ac:dyDescent="0.25">
      <c r="B463" t="s">
        <v>418</v>
      </c>
      <c r="C463" t="s">
        <v>423</v>
      </c>
      <c r="D463" t="s">
        <v>424</v>
      </c>
      <c r="E463">
        <v>0</v>
      </c>
    </row>
    <row r="464" spans="2:5" x14ac:dyDescent="0.25">
      <c r="B464" t="s">
        <v>418</v>
      </c>
      <c r="C464" t="s">
        <v>423</v>
      </c>
      <c r="D464" t="s">
        <v>424</v>
      </c>
      <c r="E464">
        <v>19280</v>
      </c>
    </row>
    <row r="465" spans="2:5" x14ac:dyDescent="0.25">
      <c r="B465" t="s">
        <v>83</v>
      </c>
      <c r="C465" t="s">
        <v>425</v>
      </c>
      <c r="D465" t="s">
        <v>426</v>
      </c>
      <c r="E465">
        <v>55</v>
      </c>
    </row>
    <row r="466" spans="2:5" x14ac:dyDescent="0.25">
      <c r="B466" t="s">
        <v>148</v>
      </c>
      <c r="C466" t="s">
        <v>427</v>
      </c>
      <c r="D466" t="s">
        <v>428</v>
      </c>
      <c r="E466">
        <v>0</v>
      </c>
    </row>
    <row r="467" spans="2:5" x14ac:dyDescent="0.25">
      <c r="B467" t="s">
        <v>186</v>
      </c>
      <c r="C467" t="s">
        <v>429</v>
      </c>
      <c r="D467" t="s">
        <v>430</v>
      </c>
      <c r="E467">
        <v>0</v>
      </c>
    </row>
    <row r="468" spans="2:5" x14ac:dyDescent="0.25">
      <c r="B468" t="s">
        <v>20</v>
      </c>
      <c r="C468" t="s">
        <v>431</v>
      </c>
      <c r="D468" t="s">
        <v>432</v>
      </c>
      <c r="E468">
        <v>0</v>
      </c>
    </row>
    <row r="469" spans="2:5" x14ac:dyDescent="0.25">
      <c r="B469" t="s">
        <v>52</v>
      </c>
      <c r="C469" t="s">
        <v>433</v>
      </c>
      <c r="D469" t="s">
        <v>434</v>
      </c>
      <c r="E469">
        <v>20</v>
      </c>
    </row>
    <row r="470" spans="2:5" x14ac:dyDescent="0.25">
      <c r="B470" t="s">
        <v>411</v>
      </c>
      <c r="C470" t="s">
        <v>412</v>
      </c>
      <c r="D470" t="s">
        <v>413</v>
      </c>
      <c r="E470">
        <v>0</v>
      </c>
    </row>
    <row r="471" spans="2:5" x14ac:dyDescent="0.25">
      <c r="B471" t="s">
        <v>435</v>
      </c>
      <c r="C471" t="s">
        <v>436</v>
      </c>
      <c r="D471" t="s">
        <v>437</v>
      </c>
      <c r="E471">
        <v>50</v>
      </c>
    </row>
    <row r="472" spans="2:5" x14ac:dyDescent="0.25">
      <c r="B472" t="s">
        <v>134</v>
      </c>
      <c r="C472" t="s">
        <v>903</v>
      </c>
      <c r="D472" t="s">
        <v>904</v>
      </c>
      <c r="E472">
        <v>0</v>
      </c>
    </row>
    <row r="473" spans="2:5" x14ac:dyDescent="0.25">
      <c r="B473" t="s">
        <v>418</v>
      </c>
      <c r="C473" t="s">
        <v>423</v>
      </c>
      <c r="D473" t="s">
        <v>424</v>
      </c>
      <c r="E473">
        <v>0</v>
      </c>
    </row>
    <row r="474" spans="2:5" x14ac:dyDescent="0.25">
      <c r="B474" t="s">
        <v>418</v>
      </c>
      <c r="C474" t="s">
        <v>423</v>
      </c>
      <c r="D474" t="s">
        <v>424</v>
      </c>
      <c r="E474">
        <v>0</v>
      </c>
    </row>
    <row r="475" spans="2:5" x14ac:dyDescent="0.25">
      <c r="B475" t="s">
        <v>546</v>
      </c>
      <c r="C475" t="s">
        <v>1262</v>
      </c>
      <c r="D475" t="s">
        <v>1263</v>
      </c>
      <c r="E475">
        <v>0</v>
      </c>
    </row>
    <row r="476" spans="2:5" x14ac:dyDescent="0.25">
      <c r="B476" t="s">
        <v>546</v>
      </c>
      <c r="C476" t="s">
        <v>1262</v>
      </c>
      <c r="D476" t="s">
        <v>1263</v>
      </c>
      <c r="E476">
        <v>0</v>
      </c>
    </row>
    <row r="477" spans="2:5" x14ac:dyDescent="0.25">
      <c r="B477" t="s">
        <v>175</v>
      </c>
      <c r="C477" t="s">
        <v>1519</v>
      </c>
      <c r="D477" t="s">
        <v>1520</v>
      </c>
      <c r="E477">
        <v>0</v>
      </c>
    </row>
    <row r="478" spans="2:5" x14ac:dyDescent="0.25">
      <c r="B478" t="s">
        <v>61</v>
      </c>
      <c r="C478" t="s">
        <v>1171</v>
      </c>
      <c r="D478" t="s">
        <v>1172</v>
      </c>
      <c r="E478">
        <v>0</v>
      </c>
    </row>
    <row r="479" spans="2:5" x14ac:dyDescent="0.25">
      <c r="B479" t="s">
        <v>438</v>
      </c>
      <c r="C479" t="s">
        <v>439</v>
      </c>
      <c r="D479" t="s">
        <v>440</v>
      </c>
      <c r="E479">
        <v>0</v>
      </c>
    </row>
    <row r="480" spans="2:5" x14ac:dyDescent="0.25">
      <c r="B480" t="s">
        <v>195</v>
      </c>
      <c r="C480" t="s">
        <v>331</v>
      </c>
      <c r="D480" t="s">
        <v>332</v>
      </c>
      <c r="E480">
        <v>0</v>
      </c>
    </row>
    <row r="481" spans="2:5" x14ac:dyDescent="0.25">
      <c r="B481" t="s">
        <v>117</v>
      </c>
      <c r="C481" t="s">
        <v>441</v>
      </c>
      <c r="D481" t="s">
        <v>442</v>
      </c>
      <c r="E481">
        <v>0</v>
      </c>
    </row>
    <row r="482" spans="2:5" x14ac:dyDescent="0.25">
      <c r="B482" t="s">
        <v>164</v>
      </c>
      <c r="C482" t="s">
        <v>443</v>
      </c>
      <c r="D482" t="s">
        <v>444</v>
      </c>
      <c r="E482">
        <v>0</v>
      </c>
    </row>
    <row r="483" spans="2:5" x14ac:dyDescent="0.25">
      <c r="B483" t="s">
        <v>203</v>
      </c>
      <c r="C483" t="s">
        <v>445</v>
      </c>
      <c r="D483" t="s">
        <v>446</v>
      </c>
      <c r="E483">
        <v>42</v>
      </c>
    </row>
    <row r="484" spans="2:5" x14ac:dyDescent="0.25">
      <c r="B484" t="s">
        <v>203</v>
      </c>
      <c r="C484" t="s">
        <v>447</v>
      </c>
      <c r="D484" t="s">
        <v>448</v>
      </c>
      <c r="E484">
        <v>0</v>
      </c>
    </row>
    <row r="485" spans="2:5" x14ac:dyDescent="0.25">
      <c r="B485" t="s">
        <v>203</v>
      </c>
      <c r="C485" t="s">
        <v>447</v>
      </c>
      <c r="D485" t="s">
        <v>448</v>
      </c>
      <c r="E485">
        <v>0</v>
      </c>
    </row>
    <row r="486" spans="2:5" x14ac:dyDescent="0.25">
      <c r="B486" t="s">
        <v>203</v>
      </c>
      <c r="C486" t="s">
        <v>449</v>
      </c>
      <c r="D486" t="s">
        <v>450</v>
      </c>
      <c r="E486">
        <v>0</v>
      </c>
    </row>
    <row r="487" spans="2:5" x14ac:dyDescent="0.25">
      <c r="B487" t="s">
        <v>203</v>
      </c>
      <c r="C487" t="s">
        <v>449</v>
      </c>
      <c r="D487" t="s">
        <v>450</v>
      </c>
      <c r="E487">
        <v>0</v>
      </c>
    </row>
    <row r="488" spans="2:5" x14ac:dyDescent="0.25">
      <c r="B488" t="s">
        <v>206</v>
      </c>
      <c r="C488" t="s">
        <v>451</v>
      </c>
      <c r="D488" t="s">
        <v>452</v>
      </c>
      <c r="E488">
        <v>0</v>
      </c>
    </row>
    <row r="489" spans="2:5" x14ac:dyDescent="0.25">
      <c r="B489" t="s">
        <v>206</v>
      </c>
      <c r="C489" t="s">
        <v>451</v>
      </c>
      <c r="D489" t="s">
        <v>452</v>
      </c>
      <c r="E489">
        <v>0</v>
      </c>
    </row>
    <row r="490" spans="2:5" x14ac:dyDescent="0.25">
      <c r="B490" t="s">
        <v>206</v>
      </c>
      <c r="C490" t="s">
        <v>451</v>
      </c>
      <c r="D490" t="s">
        <v>452</v>
      </c>
      <c r="E490">
        <v>0</v>
      </c>
    </row>
    <row r="491" spans="2:5" x14ac:dyDescent="0.25">
      <c r="B491" t="s">
        <v>209</v>
      </c>
      <c r="C491" t="s">
        <v>850</v>
      </c>
      <c r="D491" t="s">
        <v>851</v>
      </c>
      <c r="E491">
        <v>21</v>
      </c>
    </row>
    <row r="492" spans="2:5" x14ac:dyDescent="0.25">
      <c r="B492" t="s">
        <v>55</v>
      </c>
      <c r="C492" t="s">
        <v>852</v>
      </c>
      <c r="D492" t="s">
        <v>853</v>
      </c>
      <c r="E492">
        <v>0</v>
      </c>
    </row>
    <row r="493" spans="2:5" x14ac:dyDescent="0.25">
      <c r="B493" t="s">
        <v>58</v>
      </c>
      <c r="C493" t="s">
        <v>383</v>
      </c>
      <c r="D493" t="s">
        <v>384</v>
      </c>
      <c r="E493">
        <v>580</v>
      </c>
    </row>
    <row r="494" spans="2:5" x14ac:dyDescent="0.25">
      <c r="B494" t="s">
        <v>145</v>
      </c>
      <c r="C494" t="s">
        <v>854</v>
      </c>
      <c r="D494" t="s">
        <v>855</v>
      </c>
      <c r="E494">
        <v>0</v>
      </c>
    </row>
    <row r="495" spans="2:5" x14ac:dyDescent="0.25">
      <c r="B495" t="s">
        <v>145</v>
      </c>
      <c r="C495" t="s">
        <v>854</v>
      </c>
      <c r="D495" t="s">
        <v>855</v>
      </c>
      <c r="E495">
        <v>0</v>
      </c>
    </row>
    <row r="496" spans="2:5" x14ac:dyDescent="0.25">
      <c r="B496" t="s">
        <v>64</v>
      </c>
      <c r="C496" t="s">
        <v>856</v>
      </c>
      <c r="D496" t="s">
        <v>857</v>
      </c>
      <c r="E496">
        <v>540</v>
      </c>
    </row>
    <row r="497" spans="2:5" x14ac:dyDescent="0.25">
      <c r="B497" t="s">
        <v>64</v>
      </c>
      <c r="C497" t="s">
        <v>856</v>
      </c>
      <c r="D497" t="s">
        <v>857</v>
      </c>
      <c r="E497">
        <v>0</v>
      </c>
    </row>
    <row r="498" spans="2:5" x14ac:dyDescent="0.25">
      <c r="B498" t="s">
        <v>64</v>
      </c>
      <c r="C498" t="s">
        <v>856</v>
      </c>
      <c r="D498" t="s">
        <v>857</v>
      </c>
      <c r="E498">
        <v>0</v>
      </c>
    </row>
    <row r="499" spans="2:5" x14ac:dyDescent="0.25">
      <c r="B499" t="s">
        <v>64</v>
      </c>
      <c r="C499" t="s">
        <v>858</v>
      </c>
      <c r="D499" t="s">
        <v>859</v>
      </c>
      <c r="E499">
        <v>400</v>
      </c>
    </row>
    <row r="500" spans="2:5" x14ac:dyDescent="0.25">
      <c r="B500" t="s">
        <v>328</v>
      </c>
      <c r="C500" t="s">
        <v>329</v>
      </c>
      <c r="D500" t="s">
        <v>330</v>
      </c>
      <c r="E500">
        <v>0</v>
      </c>
    </row>
    <row r="501" spans="2:5" x14ac:dyDescent="0.25">
      <c r="B501" t="s">
        <v>70</v>
      </c>
      <c r="C501" t="s">
        <v>333</v>
      </c>
      <c r="D501" t="s">
        <v>334</v>
      </c>
      <c r="E501">
        <v>580</v>
      </c>
    </row>
    <row r="502" spans="2:5" x14ac:dyDescent="0.25">
      <c r="B502" t="s">
        <v>70</v>
      </c>
      <c r="C502" t="s">
        <v>388</v>
      </c>
      <c r="D502" t="s">
        <v>389</v>
      </c>
      <c r="E502">
        <v>400</v>
      </c>
    </row>
    <row r="503" spans="2:5" x14ac:dyDescent="0.25">
      <c r="B503" t="s">
        <v>860</v>
      </c>
      <c r="C503" t="s">
        <v>861</v>
      </c>
      <c r="D503" t="s">
        <v>862</v>
      </c>
      <c r="E503">
        <v>0</v>
      </c>
    </row>
    <row r="504" spans="2:5" x14ac:dyDescent="0.25">
      <c r="B504" t="s">
        <v>352</v>
      </c>
      <c r="C504" t="s">
        <v>863</v>
      </c>
      <c r="D504" t="s">
        <v>864</v>
      </c>
      <c r="E504">
        <v>0</v>
      </c>
    </row>
    <row r="505" spans="2:5" x14ac:dyDescent="0.25">
      <c r="B505" t="s">
        <v>352</v>
      </c>
      <c r="C505" t="s">
        <v>865</v>
      </c>
      <c r="D505" t="s">
        <v>866</v>
      </c>
      <c r="E505">
        <v>0</v>
      </c>
    </row>
    <row r="506" spans="2:5" x14ac:dyDescent="0.25">
      <c r="B506" t="s">
        <v>352</v>
      </c>
      <c r="C506" t="s">
        <v>867</v>
      </c>
      <c r="D506" t="s">
        <v>868</v>
      </c>
      <c r="E506">
        <v>0</v>
      </c>
    </row>
    <row r="507" spans="2:5" x14ac:dyDescent="0.25">
      <c r="B507" t="s">
        <v>352</v>
      </c>
      <c r="C507" t="s">
        <v>867</v>
      </c>
      <c r="D507" t="s">
        <v>868</v>
      </c>
      <c r="E507">
        <v>0</v>
      </c>
    </row>
    <row r="508" spans="2:5" x14ac:dyDescent="0.25">
      <c r="B508" t="s">
        <v>11</v>
      </c>
      <c r="C508" t="s">
        <v>869</v>
      </c>
      <c r="D508" t="s">
        <v>870</v>
      </c>
      <c r="E508">
        <v>0</v>
      </c>
    </row>
    <row r="509" spans="2:5" x14ac:dyDescent="0.25">
      <c r="B509" t="s">
        <v>11</v>
      </c>
      <c r="C509" t="s">
        <v>869</v>
      </c>
      <c r="D509" t="s">
        <v>870</v>
      </c>
      <c r="E509">
        <v>0</v>
      </c>
    </row>
    <row r="510" spans="2:5" x14ac:dyDescent="0.25">
      <c r="B510" t="s">
        <v>623</v>
      </c>
      <c r="C510" t="s">
        <v>871</v>
      </c>
      <c r="D510" t="s">
        <v>872</v>
      </c>
      <c r="E510">
        <v>7280</v>
      </c>
    </row>
    <row r="511" spans="2:5" x14ac:dyDescent="0.25">
      <c r="B511" t="s">
        <v>623</v>
      </c>
      <c r="C511" t="s">
        <v>871</v>
      </c>
      <c r="D511" t="s">
        <v>872</v>
      </c>
      <c r="E511">
        <v>0</v>
      </c>
    </row>
    <row r="512" spans="2:5" x14ac:dyDescent="0.25">
      <c r="B512" t="s">
        <v>623</v>
      </c>
      <c r="C512" t="s">
        <v>871</v>
      </c>
      <c r="D512" t="s">
        <v>872</v>
      </c>
      <c r="E512">
        <v>0</v>
      </c>
    </row>
    <row r="513" spans="2:5" x14ac:dyDescent="0.25">
      <c r="B513" t="s">
        <v>352</v>
      </c>
      <c r="C513" t="s">
        <v>1450</v>
      </c>
      <c r="D513" t="s">
        <v>1451</v>
      </c>
      <c r="E513">
        <v>0</v>
      </c>
    </row>
    <row r="514" spans="2:5" x14ac:dyDescent="0.25">
      <c r="B514" t="s">
        <v>1452</v>
      </c>
      <c r="C514" t="s">
        <v>1453</v>
      </c>
      <c r="D514" t="s">
        <v>1454</v>
      </c>
      <c r="E514">
        <v>0</v>
      </c>
    </row>
    <row r="515" spans="2:5" x14ac:dyDescent="0.25">
      <c r="B515" t="s">
        <v>687</v>
      </c>
      <c r="C515" t="s">
        <v>688</v>
      </c>
      <c r="D515" t="s">
        <v>689</v>
      </c>
      <c r="E515">
        <v>0</v>
      </c>
    </row>
    <row r="516" spans="2:5" x14ac:dyDescent="0.25">
      <c r="B516" t="s">
        <v>770</v>
      </c>
      <c r="C516" t="s">
        <v>1501</v>
      </c>
      <c r="D516" t="s">
        <v>1502</v>
      </c>
      <c r="E516">
        <v>78</v>
      </c>
    </row>
    <row r="517" spans="2:5" x14ac:dyDescent="0.25">
      <c r="B517" t="s">
        <v>83</v>
      </c>
      <c r="C517" t="s">
        <v>1503</v>
      </c>
      <c r="D517" t="s">
        <v>1504</v>
      </c>
      <c r="E517">
        <v>0</v>
      </c>
    </row>
    <row r="518" spans="2:5" x14ac:dyDescent="0.25">
      <c r="B518" t="s">
        <v>217</v>
      </c>
      <c r="C518" t="s">
        <v>1163</v>
      </c>
      <c r="D518" t="s">
        <v>1164</v>
      </c>
      <c r="E518">
        <v>0</v>
      </c>
    </row>
    <row r="519" spans="2:5" x14ac:dyDescent="0.25">
      <c r="B519" t="s">
        <v>58</v>
      </c>
      <c r="C519" t="s">
        <v>759</v>
      </c>
      <c r="D519" t="s">
        <v>760</v>
      </c>
      <c r="E519">
        <v>0</v>
      </c>
    </row>
    <row r="520" spans="2:5" x14ac:dyDescent="0.25">
      <c r="B520" t="s">
        <v>546</v>
      </c>
      <c r="C520" t="s">
        <v>1505</v>
      </c>
      <c r="D520" t="s">
        <v>1506</v>
      </c>
      <c r="E520">
        <v>0</v>
      </c>
    </row>
    <row r="521" spans="2:5" x14ac:dyDescent="0.25">
      <c r="B521" t="s">
        <v>61</v>
      </c>
      <c r="C521" t="s">
        <v>1507</v>
      </c>
      <c r="D521" t="s">
        <v>1508</v>
      </c>
      <c r="E521">
        <v>0</v>
      </c>
    </row>
    <row r="522" spans="2:5" x14ac:dyDescent="0.25">
      <c r="B522" t="s">
        <v>203</v>
      </c>
      <c r="C522" t="s">
        <v>1509</v>
      </c>
      <c r="D522" t="s">
        <v>1510</v>
      </c>
      <c r="E522">
        <v>0</v>
      </c>
    </row>
    <row r="523" spans="2:5" x14ac:dyDescent="0.25">
      <c r="B523" t="s">
        <v>52</v>
      </c>
      <c r="C523" t="s">
        <v>1511</v>
      </c>
      <c r="D523" t="s">
        <v>1512</v>
      </c>
      <c r="E523">
        <v>0</v>
      </c>
    </row>
    <row r="524" spans="2:5" x14ac:dyDescent="0.25">
      <c r="B524" t="s">
        <v>52</v>
      </c>
      <c r="C524" t="s">
        <v>1513</v>
      </c>
      <c r="D524" t="s">
        <v>1514</v>
      </c>
      <c r="E524">
        <v>0</v>
      </c>
    </row>
    <row r="525" spans="2:5" x14ac:dyDescent="0.25">
      <c r="B525" t="s">
        <v>521</v>
      </c>
      <c r="C525" t="s">
        <v>1515</v>
      </c>
      <c r="D525" t="s">
        <v>1516</v>
      </c>
      <c r="E525">
        <v>0</v>
      </c>
    </row>
    <row r="526" spans="2:5" x14ac:dyDescent="0.25">
      <c r="B526" t="s">
        <v>125</v>
      </c>
      <c r="C526" t="s">
        <v>710</v>
      </c>
      <c r="D526" t="s">
        <v>711</v>
      </c>
      <c r="E526">
        <v>0</v>
      </c>
    </row>
    <row r="527" spans="2:5" x14ac:dyDescent="0.25">
      <c r="B527" t="s">
        <v>11</v>
      </c>
      <c r="C527" t="s">
        <v>1388</v>
      </c>
      <c r="D527" t="s">
        <v>1389</v>
      </c>
      <c r="E527">
        <v>0</v>
      </c>
    </row>
    <row r="528" spans="2:5" x14ac:dyDescent="0.25">
      <c r="B528" t="s">
        <v>14</v>
      </c>
      <c r="C528" t="s">
        <v>1517</v>
      </c>
      <c r="D528" t="s">
        <v>1518</v>
      </c>
      <c r="E528">
        <v>0</v>
      </c>
    </row>
    <row r="529" spans="2:5" x14ac:dyDescent="0.25">
      <c r="B529" t="s">
        <v>8</v>
      </c>
      <c r="C529" t="s">
        <v>605</v>
      </c>
      <c r="D529" t="s">
        <v>606</v>
      </c>
      <c r="E529">
        <v>0</v>
      </c>
    </row>
    <row r="530" spans="2:5" x14ac:dyDescent="0.25">
      <c r="B530" t="s">
        <v>83</v>
      </c>
      <c r="C530" t="s">
        <v>692</v>
      </c>
      <c r="D530" t="s">
        <v>693</v>
      </c>
      <c r="E530">
        <v>0</v>
      </c>
    </row>
    <row r="531" spans="2:5" x14ac:dyDescent="0.25">
      <c r="B531" t="s">
        <v>28</v>
      </c>
      <c r="C531" t="s">
        <v>1394</v>
      </c>
      <c r="D531" t="s">
        <v>1395</v>
      </c>
      <c r="E531">
        <v>0</v>
      </c>
    </row>
    <row r="532" spans="2:5" x14ac:dyDescent="0.25">
      <c r="B532" t="s">
        <v>217</v>
      </c>
      <c r="C532" t="s">
        <v>1090</v>
      </c>
      <c r="D532" t="s">
        <v>1091</v>
      </c>
      <c r="E532">
        <v>420</v>
      </c>
    </row>
    <row r="533" spans="2:5" x14ac:dyDescent="0.25">
      <c r="B533" t="s">
        <v>151</v>
      </c>
      <c r="C533" t="s">
        <v>1092</v>
      </c>
      <c r="D533" t="s">
        <v>1093</v>
      </c>
      <c r="E533">
        <v>0</v>
      </c>
    </row>
    <row r="534" spans="2:5" x14ac:dyDescent="0.25">
      <c r="B534" t="s">
        <v>164</v>
      </c>
      <c r="C534" t="s">
        <v>1094</v>
      </c>
      <c r="D534" t="s">
        <v>1095</v>
      </c>
      <c r="E534">
        <v>0</v>
      </c>
    </row>
    <row r="535" spans="2:5" x14ac:dyDescent="0.25">
      <c r="B535" t="s">
        <v>55</v>
      </c>
      <c r="C535" t="s">
        <v>1096</v>
      </c>
      <c r="D535" t="s">
        <v>1097</v>
      </c>
      <c r="E535">
        <v>0</v>
      </c>
    </row>
    <row r="536" spans="2:5" x14ac:dyDescent="0.25">
      <c r="B536" t="s">
        <v>164</v>
      </c>
      <c r="C536" t="s">
        <v>1098</v>
      </c>
      <c r="D536" t="s">
        <v>1099</v>
      </c>
      <c r="E536">
        <v>80</v>
      </c>
    </row>
    <row r="537" spans="2:5" x14ac:dyDescent="0.25">
      <c r="B537" t="s">
        <v>106</v>
      </c>
      <c r="C537" t="s">
        <v>1100</v>
      </c>
      <c r="D537" t="s">
        <v>1101</v>
      </c>
      <c r="E537">
        <v>190</v>
      </c>
    </row>
    <row r="538" spans="2:5" x14ac:dyDescent="0.25">
      <c r="B538" t="s">
        <v>1020</v>
      </c>
      <c r="C538" t="s">
        <v>1102</v>
      </c>
      <c r="D538" t="s">
        <v>1103</v>
      </c>
      <c r="E538">
        <v>0</v>
      </c>
    </row>
    <row r="539" spans="2:5" x14ac:dyDescent="0.25">
      <c r="B539" t="s">
        <v>1071</v>
      </c>
      <c r="C539" t="s">
        <v>1072</v>
      </c>
      <c r="D539" t="s">
        <v>1073</v>
      </c>
      <c r="E539">
        <v>0</v>
      </c>
    </row>
    <row r="540" spans="2:5" x14ac:dyDescent="0.25">
      <c r="B540" t="s">
        <v>1071</v>
      </c>
      <c r="C540" t="s">
        <v>1104</v>
      </c>
      <c r="D540" t="s">
        <v>1105</v>
      </c>
      <c r="E540">
        <v>0</v>
      </c>
    </row>
    <row r="541" spans="2:5" x14ac:dyDescent="0.25">
      <c r="B541" t="s">
        <v>91</v>
      </c>
      <c r="C541" t="s">
        <v>1106</v>
      </c>
      <c r="D541" t="s">
        <v>1107</v>
      </c>
      <c r="E541">
        <v>0</v>
      </c>
    </row>
    <row r="542" spans="2:5" x14ac:dyDescent="0.25">
      <c r="B542" t="s">
        <v>91</v>
      </c>
      <c r="C542" t="s">
        <v>1108</v>
      </c>
      <c r="D542" t="s">
        <v>1109</v>
      </c>
      <c r="E542">
        <v>0</v>
      </c>
    </row>
    <row r="543" spans="2:5" x14ac:dyDescent="0.25">
      <c r="B543" t="s">
        <v>55</v>
      </c>
      <c r="C543" t="s">
        <v>1110</v>
      </c>
      <c r="D543" t="s">
        <v>1111</v>
      </c>
      <c r="E543">
        <v>0</v>
      </c>
    </row>
    <row r="544" spans="2:5" x14ac:dyDescent="0.25">
      <c r="B544" t="s">
        <v>55</v>
      </c>
      <c r="C544" t="s">
        <v>1112</v>
      </c>
      <c r="D544" t="s">
        <v>1113</v>
      </c>
      <c r="E544">
        <v>0</v>
      </c>
    </row>
    <row r="545" spans="2:5" x14ac:dyDescent="0.25">
      <c r="B545" t="s">
        <v>1114</v>
      </c>
      <c r="C545" t="s">
        <v>1115</v>
      </c>
      <c r="D545" t="s">
        <v>1116</v>
      </c>
      <c r="E545">
        <v>0</v>
      </c>
    </row>
    <row r="546" spans="2:5" x14ac:dyDescent="0.25">
      <c r="B546" t="s">
        <v>694</v>
      </c>
      <c r="C546" t="s">
        <v>695</v>
      </c>
      <c r="D546" t="s">
        <v>696</v>
      </c>
      <c r="E546">
        <v>0</v>
      </c>
    </row>
    <row r="547" spans="2:5" x14ac:dyDescent="0.25">
      <c r="B547" t="s">
        <v>8</v>
      </c>
      <c r="C547" t="s">
        <v>605</v>
      </c>
      <c r="D547" t="s">
        <v>606</v>
      </c>
      <c r="E547">
        <v>0</v>
      </c>
    </row>
    <row r="548" spans="2:5" x14ac:dyDescent="0.25">
      <c r="B548" t="s">
        <v>705</v>
      </c>
      <c r="C548" t="s">
        <v>1117</v>
      </c>
      <c r="D548" t="s">
        <v>1118</v>
      </c>
      <c r="E548">
        <v>0</v>
      </c>
    </row>
    <row r="549" spans="2:5" x14ac:dyDescent="0.25">
      <c r="B549" t="s">
        <v>712</v>
      </c>
      <c r="C549" t="s">
        <v>713</v>
      </c>
      <c r="D549" t="s">
        <v>714</v>
      </c>
      <c r="E549">
        <v>0</v>
      </c>
    </row>
    <row r="550" spans="2:5" x14ac:dyDescent="0.25">
      <c r="B550" t="s">
        <v>715</v>
      </c>
      <c r="C550" t="s">
        <v>716</v>
      </c>
      <c r="D550" t="s">
        <v>717</v>
      </c>
      <c r="E550">
        <v>0</v>
      </c>
    </row>
    <row r="551" spans="2:5" x14ac:dyDescent="0.25">
      <c r="B551" t="s">
        <v>195</v>
      </c>
      <c r="C551" t="s">
        <v>701</v>
      </c>
      <c r="D551" t="s">
        <v>702</v>
      </c>
      <c r="E551">
        <v>0</v>
      </c>
    </row>
    <row r="552" spans="2:5" x14ac:dyDescent="0.25">
      <c r="B552" t="s">
        <v>164</v>
      </c>
      <c r="C552" t="s">
        <v>718</v>
      </c>
      <c r="D552" t="s">
        <v>719</v>
      </c>
      <c r="E552">
        <v>0</v>
      </c>
    </row>
    <row r="553" spans="2:5" x14ac:dyDescent="0.25">
      <c r="B553" t="s">
        <v>164</v>
      </c>
      <c r="C553" t="s">
        <v>720</v>
      </c>
      <c r="D553" t="s">
        <v>721</v>
      </c>
      <c r="E553">
        <v>0</v>
      </c>
    </row>
    <row r="554" spans="2:5" x14ac:dyDescent="0.25">
      <c r="B554" t="s">
        <v>52</v>
      </c>
      <c r="C554" t="s">
        <v>722</v>
      </c>
      <c r="D554" t="s">
        <v>723</v>
      </c>
      <c r="E554">
        <v>0</v>
      </c>
    </row>
    <row r="555" spans="2:5" x14ac:dyDescent="0.25">
      <c r="B555" t="s">
        <v>80</v>
      </c>
      <c r="C555" t="s">
        <v>724</v>
      </c>
      <c r="D555" t="s">
        <v>725</v>
      </c>
      <c r="E555">
        <v>0</v>
      </c>
    </row>
    <row r="556" spans="2:5" x14ac:dyDescent="0.25">
      <c r="B556" t="s">
        <v>585</v>
      </c>
      <c r="C556" t="s">
        <v>726</v>
      </c>
      <c r="D556" t="s">
        <v>727</v>
      </c>
      <c r="E556">
        <v>50</v>
      </c>
    </row>
    <row r="557" spans="2:5" x14ac:dyDescent="0.25">
      <c r="B557" t="s">
        <v>175</v>
      </c>
      <c r="C557" t="s">
        <v>728</v>
      </c>
      <c r="D557" t="s">
        <v>729</v>
      </c>
      <c r="E557">
        <v>0</v>
      </c>
    </row>
    <row r="558" spans="2:5" x14ac:dyDescent="0.25">
      <c r="B558" t="s">
        <v>730</v>
      </c>
      <c r="C558" t="s">
        <v>731</v>
      </c>
      <c r="D558" t="s">
        <v>732</v>
      </c>
      <c r="E558">
        <v>0</v>
      </c>
    </row>
    <row r="559" spans="2:5" x14ac:dyDescent="0.25">
      <c r="B559" t="s">
        <v>148</v>
      </c>
      <c r="C559" t="s">
        <v>733</v>
      </c>
      <c r="D559" t="s">
        <v>734</v>
      </c>
      <c r="E559">
        <v>0</v>
      </c>
    </row>
    <row r="560" spans="2:5" x14ac:dyDescent="0.25">
      <c r="B560" t="s">
        <v>551</v>
      </c>
      <c r="C560" t="s">
        <v>735</v>
      </c>
      <c r="D560" t="s">
        <v>736</v>
      </c>
      <c r="E560">
        <v>0</v>
      </c>
    </row>
    <row r="561" spans="2:5" x14ac:dyDescent="0.25">
      <c r="B561" t="s">
        <v>120</v>
      </c>
      <c r="C561" t="s">
        <v>737</v>
      </c>
      <c r="D561" t="s">
        <v>738</v>
      </c>
      <c r="E561">
        <v>85</v>
      </c>
    </row>
    <row r="562" spans="2:5" x14ac:dyDescent="0.25">
      <c r="B562" t="s">
        <v>20</v>
      </c>
      <c r="C562" t="s">
        <v>739</v>
      </c>
      <c r="D562" t="s">
        <v>740</v>
      </c>
      <c r="E562">
        <v>40</v>
      </c>
    </row>
    <row r="563" spans="2:5" x14ac:dyDescent="0.25">
      <c r="B563" t="s">
        <v>11</v>
      </c>
      <c r="C563" t="s">
        <v>1388</v>
      </c>
      <c r="D563" t="s">
        <v>1389</v>
      </c>
      <c r="E563">
        <v>0</v>
      </c>
    </row>
    <row r="564" spans="2:5" x14ac:dyDescent="0.25">
      <c r="B564" t="s">
        <v>712</v>
      </c>
      <c r="C564" t="s">
        <v>713</v>
      </c>
      <c r="D564" t="s">
        <v>714</v>
      </c>
      <c r="E564">
        <v>0</v>
      </c>
    </row>
    <row r="565" spans="2:5" x14ac:dyDescent="0.25">
      <c r="B565" t="s">
        <v>712</v>
      </c>
      <c r="C565" t="s">
        <v>713</v>
      </c>
      <c r="D565" t="s">
        <v>714</v>
      </c>
      <c r="E565">
        <v>4380</v>
      </c>
    </row>
    <row r="566" spans="2:5" x14ac:dyDescent="0.25">
      <c r="B566" t="s">
        <v>237</v>
      </c>
      <c r="C566" t="s">
        <v>1125</v>
      </c>
      <c r="D566" t="s">
        <v>1126</v>
      </c>
      <c r="E566">
        <v>0</v>
      </c>
    </row>
    <row r="567" spans="2:5" x14ac:dyDescent="0.25">
      <c r="B567" t="s">
        <v>680</v>
      </c>
      <c r="C567" t="s">
        <v>681</v>
      </c>
      <c r="D567" t="s">
        <v>682</v>
      </c>
      <c r="E567">
        <v>0</v>
      </c>
    </row>
    <row r="568" spans="2:5" x14ac:dyDescent="0.25">
      <c r="B568" t="s">
        <v>438</v>
      </c>
      <c r="C568" t="s">
        <v>741</v>
      </c>
      <c r="D568" t="s">
        <v>742</v>
      </c>
      <c r="E568">
        <v>0</v>
      </c>
    </row>
    <row r="569" spans="2:5" x14ac:dyDescent="0.25">
      <c r="B569" t="s">
        <v>438</v>
      </c>
      <c r="C569" t="s">
        <v>743</v>
      </c>
      <c r="D569" t="s">
        <v>744</v>
      </c>
      <c r="E569">
        <v>0</v>
      </c>
    </row>
    <row r="570" spans="2:5" x14ac:dyDescent="0.25">
      <c r="B570" t="s">
        <v>195</v>
      </c>
      <c r="C570" t="s">
        <v>745</v>
      </c>
      <c r="D570" t="s">
        <v>746</v>
      </c>
      <c r="E570">
        <v>0</v>
      </c>
    </row>
    <row r="571" spans="2:5" x14ac:dyDescent="0.25">
      <c r="B571" t="s">
        <v>195</v>
      </c>
      <c r="C571" t="s">
        <v>747</v>
      </c>
      <c r="D571" t="s">
        <v>748</v>
      </c>
      <c r="E571">
        <v>0</v>
      </c>
    </row>
    <row r="572" spans="2:5" x14ac:dyDescent="0.25">
      <c r="B572" t="s">
        <v>195</v>
      </c>
      <c r="C572" t="s">
        <v>749</v>
      </c>
      <c r="D572" t="s">
        <v>750</v>
      </c>
      <c r="E572">
        <v>0</v>
      </c>
    </row>
    <row r="573" spans="2:5" x14ac:dyDescent="0.25">
      <c r="B573" t="s">
        <v>328</v>
      </c>
      <c r="C573" t="s">
        <v>751</v>
      </c>
      <c r="D573" t="s">
        <v>752</v>
      </c>
      <c r="E573">
        <v>0</v>
      </c>
    </row>
    <row r="574" spans="2:5" x14ac:dyDescent="0.25">
      <c r="B574" t="s">
        <v>164</v>
      </c>
      <c r="C574" t="s">
        <v>720</v>
      </c>
      <c r="D574" t="s">
        <v>721</v>
      </c>
      <c r="E574">
        <v>144</v>
      </c>
    </row>
    <row r="575" spans="2:5" x14ac:dyDescent="0.25">
      <c r="B575" t="s">
        <v>164</v>
      </c>
      <c r="C575" t="s">
        <v>720</v>
      </c>
      <c r="D575" t="s">
        <v>721</v>
      </c>
      <c r="E575">
        <v>0</v>
      </c>
    </row>
    <row r="576" spans="2:5" x14ac:dyDescent="0.25">
      <c r="B576" t="s">
        <v>203</v>
      </c>
      <c r="C576" t="s">
        <v>753</v>
      </c>
      <c r="D576" t="s">
        <v>754</v>
      </c>
      <c r="E576">
        <v>8</v>
      </c>
    </row>
    <row r="577" spans="2:5" x14ac:dyDescent="0.25">
      <c r="B577" t="s">
        <v>214</v>
      </c>
      <c r="C577" t="s">
        <v>755</v>
      </c>
      <c r="D577" t="s">
        <v>756</v>
      </c>
      <c r="E577">
        <v>0</v>
      </c>
    </row>
    <row r="578" spans="2:5" x14ac:dyDescent="0.25">
      <c r="B578" t="s">
        <v>131</v>
      </c>
      <c r="C578" t="s">
        <v>757</v>
      </c>
      <c r="D578" t="s">
        <v>758</v>
      </c>
      <c r="E578">
        <v>80</v>
      </c>
    </row>
    <row r="579" spans="2:5" x14ac:dyDescent="0.25">
      <c r="B579" t="s">
        <v>58</v>
      </c>
      <c r="C579" t="s">
        <v>759</v>
      </c>
      <c r="D579" t="s">
        <v>760</v>
      </c>
      <c r="E579">
        <v>51</v>
      </c>
    </row>
    <row r="580" spans="2:5" x14ac:dyDescent="0.25">
      <c r="B580" t="s">
        <v>217</v>
      </c>
      <c r="C580" t="s">
        <v>761</v>
      </c>
      <c r="D580" t="s">
        <v>762</v>
      </c>
      <c r="E580">
        <v>0</v>
      </c>
    </row>
    <row r="581" spans="2:5" x14ac:dyDescent="0.25">
      <c r="B581" t="s">
        <v>217</v>
      </c>
      <c r="C581" t="s">
        <v>761</v>
      </c>
      <c r="D581" t="s">
        <v>762</v>
      </c>
      <c r="E581">
        <v>0</v>
      </c>
    </row>
    <row r="582" spans="2:5" x14ac:dyDescent="0.25">
      <c r="B582" t="s">
        <v>217</v>
      </c>
      <c r="C582" t="s">
        <v>761</v>
      </c>
      <c r="D582" t="s">
        <v>762</v>
      </c>
      <c r="E582">
        <v>0</v>
      </c>
    </row>
    <row r="583" spans="2:5" x14ac:dyDescent="0.25">
      <c r="B583" t="s">
        <v>64</v>
      </c>
      <c r="C583" t="s">
        <v>1053</v>
      </c>
      <c r="D583" t="s">
        <v>1054</v>
      </c>
      <c r="E583">
        <v>0</v>
      </c>
    </row>
    <row r="584" spans="2:5" x14ac:dyDescent="0.25">
      <c r="B584" t="s">
        <v>64</v>
      </c>
      <c r="C584" t="s">
        <v>1053</v>
      </c>
      <c r="D584" t="s">
        <v>1054</v>
      </c>
      <c r="E584">
        <v>0</v>
      </c>
    </row>
    <row r="585" spans="2:5" x14ac:dyDescent="0.25">
      <c r="B585" t="s">
        <v>797</v>
      </c>
      <c r="C585" t="s">
        <v>1055</v>
      </c>
      <c r="D585" t="s">
        <v>1056</v>
      </c>
      <c r="E585">
        <v>0</v>
      </c>
    </row>
    <row r="586" spans="2:5" x14ac:dyDescent="0.25">
      <c r="B586" t="s">
        <v>797</v>
      </c>
      <c r="C586" t="s">
        <v>1055</v>
      </c>
      <c r="D586" t="s">
        <v>1056</v>
      </c>
      <c r="E586">
        <v>0</v>
      </c>
    </row>
    <row r="587" spans="2:5" x14ac:dyDescent="0.25">
      <c r="B587" t="s">
        <v>797</v>
      </c>
      <c r="C587" t="s">
        <v>1057</v>
      </c>
      <c r="D587" t="s">
        <v>1058</v>
      </c>
      <c r="E587">
        <v>0</v>
      </c>
    </row>
    <row r="588" spans="2:5" x14ac:dyDescent="0.25">
      <c r="B588" t="s">
        <v>70</v>
      </c>
      <c r="C588" t="s">
        <v>1059</v>
      </c>
      <c r="D588" t="s">
        <v>1060</v>
      </c>
      <c r="E588">
        <v>8</v>
      </c>
    </row>
    <row r="589" spans="2:5" x14ac:dyDescent="0.25">
      <c r="B589" t="s">
        <v>70</v>
      </c>
      <c r="C589" t="s">
        <v>1059</v>
      </c>
      <c r="D589" t="s">
        <v>1060</v>
      </c>
      <c r="E589">
        <v>0</v>
      </c>
    </row>
    <row r="590" spans="2:5" x14ac:dyDescent="0.25">
      <c r="B590" t="s">
        <v>860</v>
      </c>
      <c r="C590" t="s">
        <v>1061</v>
      </c>
      <c r="D590" t="s">
        <v>1062</v>
      </c>
      <c r="E590">
        <v>4920</v>
      </c>
    </row>
    <row r="591" spans="2:5" x14ac:dyDescent="0.25">
      <c r="B591" t="s">
        <v>860</v>
      </c>
      <c r="C591" t="s">
        <v>1061</v>
      </c>
      <c r="D591" t="s">
        <v>1062</v>
      </c>
      <c r="E591">
        <v>0</v>
      </c>
    </row>
    <row r="592" spans="2:5" x14ac:dyDescent="0.25">
      <c r="B592" t="s">
        <v>237</v>
      </c>
      <c r="C592" t="s">
        <v>1063</v>
      </c>
      <c r="D592" t="s">
        <v>1064</v>
      </c>
      <c r="E592">
        <v>582</v>
      </c>
    </row>
    <row r="593" spans="2:5" x14ac:dyDescent="0.25">
      <c r="B593" t="s">
        <v>237</v>
      </c>
      <c r="C593" t="s">
        <v>1063</v>
      </c>
      <c r="D593" t="s">
        <v>1064</v>
      </c>
      <c r="E593">
        <v>0</v>
      </c>
    </row>
    <row r="594" spans="2:5" x14ac:dyDescent="0.25">
      <c r="B594" t="s">
        <v>237</v>
      </c>
      <c r="C594" t="s">
        <v>1063</v>
      </c>
      <c r="D594" t="s">
        <v>1064</v>
      </c>
      <c r="E594">
        <v>0</v>
      </c>
    </row>
    <row r="595" spans="2:5" x14ac:dyDescent="0.25">
      <c r="B595" t="s">
        <v>352</v>
      </c>
      <c r="C595" t="s">
        <v>1065</v>
      </c>
      <c r="D595" t="s">
        <v>1066</v>
      </c>
      <c r="E595">
        <v>852</v>
      </c>
    </row>
    <row r="596" spans="2:5" x14ac:dyDescent="0.25">
      <c r="B596" t="s">
        <v>352</v>
      </c>
      <c r="C596" t="s">
        <v>1067</v>
      </c>
      <c r="D596" t="s">
        <v>1068</v>
      </c>
      <c r="E596">
        <v>0</v>
      </c>
    </row>
    <row r="597" spans="2:5" x14ac:dyDescent="0.25">
      <c r="B597" t="s">
        <v>623</v>
      </c>
      <c r="C597" t="s">
        <v>624</v>
      </c>
      <c r="D597" t="s">
        <v>625</v>
      </c>
      <c r="E597">
        <v>400</v>
      </c>
    </row>
    <row r="598" spans="2:5" x14ac:dyDescent="0.25">
      <c r="B598" t="s">
        <v>20</v>
      </c>
      <c r="C598" t="s">
        <v>459</v>
      </c>
      <c r="D598" t="s">
        <v>460</v>
      </c>
      <c r="E598">
        <v>0</v>
      </c>
    </row>
    <row r="599" spans="2:5" x14ac:dyDescent="0.25">
      <c r="B599" t="s">
        <v>120</v>
      </c>
      <c r="C599" t="s">
        <v>540</v>
      </c>
      <c r="D599" t="s">
        <v>541</v>
      </c>
      <c r="E599">
        <v>20</v>
      </c>
    </row>
    <row r="600" spans="2:5" x14ac:dyDescent="0.25">
      <c r="B600" t="s">
        <v>217</v>
      </c>
      <c r="C600" t="s">
        <v>972</v>
      </c>
      <c r="D600" t="s">
        <v>973</v>
      </c>
      <c r="E600">
        <v>0</v>
      </c>
    </row>
    <row r="601" spans="2:5" x14ac:dyDescent="0.25">
      <c r="B601" t="s">
        <v>114</v>
      </c>
      <c r="C601" t="s">
        <v>549</v>
      </c>
      <c r="D601" t="s">
        <v>550</v>
      </c>
      <c r="E601">
        <v>0</v>
      </c>
    </row>
    <row r="602" spans="2:5" x14ac:dyDescent="0.25">
      <c r="B602" t="s">
        <v>148</v>
      </c>
      <c r="C602" t="s">
        <v>544</v>
      </c>
      <c r="D602" t="s">
        <v>545</v>
      </c>
      <c r="E602">
        <v>0</v>
      </c>
    </row>
    <row r="603" spans="2:5" x14ac:dyDescent="0.25">
      <c r="B603" t="s">
        <v>352</v>
      </c>
      <c r="C603" t="s">
        <v>1320</v>
      </c>
      <c r="D603" t="s">
        <v>1321</v>
      </c>
      <c r="E603">
        <v>0</v>
      </c>
    </row>
    <row r="604" spans="2:5" x14ac:dyDescent="0.25">
      <c r="B604" t="s">
        <v>546</v>
      </c>
      <c r="C604" t="s">
        <v>547</v>
      </c>
      <c r="D604" t="s">
        <v>548</v>
      </c>
      <c r="E604">
        <v>0</v>
      </c>
    </row>
    <row r="605" spans="2:5" x14ac:dyDescent="0.25">
      <c r="B605" t="s">
        <v>546</v>
      </c>
      <c r="C605" t="s">
        <v>547</v>
      </c>
      <c r="D605" t="s">
        <v>548</v>
      </c>
      <c r="E605">
        <v>0</v>
      </c>
    </row>
    <row r="606" spans="2:5" x14ac:dyDescent="0.25">
      <c r="B606" t="s">
        <v>120</v>
      </c>
      <c r="C606" t="s">
        <v>540</v>
      </c>
      <c r="D606" t="s">
        <v>541</v>
      </c>
      <c r="E606">
        <v>0</v>
      </c>
    </row>
    <row r="607" spans="2:5" x14ac:dyDescent="0.25">
      <c r="B607" t="s">
        <v>195</v>
      </c>
      <c r="C607" t="s">
        <v>1047</v>
      </c>
      <c r="D607" t="s">
        <v>1048</v>
      </c>
      <c r="E607">
        <v>1920</v>
      </c>
    </row>
    <row r="608" spans="2:5" x14ac:dyDescent="0.25">
      <c r="B608" t="s">
        <v>1005</v>
      </c>
      <c r="C608" t="s">
        <v>1006</v>
      </c>
      <c r="D608" t="s">
        <v>1007</v>
      </c>
      <c r="E608">
        <v>4275</v>
      </c>
    </row>
    <row r="609" spans="2:5" x14ac:dyDescent="0.25">
      <c r="B609" t="s">
        <v>17</v>
      </c>
      <c r="C609" t="s">
        <v>1001</v>
      </c>
      <c r="D609" t="s">
        <v>1002</v>
      </c>
      <c r="E609">
        <v>0</v>
      </c>
    </row>
    <row r="610" spans="2:5" x14ac:dyDescent="0.25">
      <c r="B610" t="s">
        <v>148</v>
      </c>
      <c r="C610" t="s">
        <v>1045</v>
      </c>
      <c r="D610" t="s">
        <v>1046</v>
      </c>
      <c r="E610">
        <v>2040</v>
      </c>
    </row>
    <row r="611" spans="2:5" x14ac:dyDescent="0.25">
      <c r="B611" t="s">
        <v>438</v>
      </c>
      <c r="C611" t="s">
        <v>955</v>
      </c>
      <c r="D611" t="s">
        <v>956</v>
      </c>
      <c r="E611">
        <v>0</v>
      </c>
    </row>
    <row r="612" spans="2:5" x14ac:dyDescent="0.25">
      <c r="B612" t="s">
        <v>195</v>
      </c>
      <c r="C612" t="s">
        <v>957</v>
      </c>
      <c r="D612" t="s">
        <v>958</v>
      </c>
      <c r="E612">
        <v>0</v>
      </c>
    </row>
    <row r="613" spans="2:5" x14ac:dyDescent="0.25">
      <c r="B613" t="s">
        <v>328</v>
      </c>
      <c r="C613" t="s">
        <v>959</v>
      </c>
      <c r="D613" t="s">
        <v>960</v>
      </c>
      <c r="E613">
        <v>0</v>
      </c>
    </row>
    <row r="614" spans="2:5" x14ac:dyDescent="0.25">
      <c r="B614" t="s">
        <v>203</v>
      </c>
      <c r="C614" t="s">
        <v>961</v>
      </c>
      <c r="D614" t="s">
        <v>962</v>
      </c>
      <c r="E614">
        <v>6035</v>
      </c>
    </row>
    <row r="615" spans="2:5" x14ac:dyDescent="0.25">
      <c r="B615" t="s">
        <v>203</v>
      </c>
      <c r="C615" t="s">
        <v>961</v>
      </c>
      <c r="D615" t="s">
        <v>962</v>
      </c>
      <c r="E615">
        <v>0</v>
      </c>
    </row>
    <row r="616" spans="2:5" x14ac:dyDescent="0.25">
      <c r="B616" t="s">
        <v>203</v>
      </c>
      <c r="C616" t="s">
        <v>963</v>
      </c>
      <c r="D616" t="s">
        <v>964</v>
      </c>
      <c r="E616">
        <v>11880</v>
      </c>
    </row>
    <row r="617" spans="2:5" x14ac:dyDescent="0.25">
      <c r="B617" t="s">
        <v>209</v>
      </c>
      <c r="C617" t="s">
        <v>965</v>
      </c>
      <c r="D617" t="s">
        <v>966</v>
      </c>
      <c r="E617">
        <v>80</v>
      </c>
    </row>
    <row r="618" spans="2:5" x14ac:dyDescent="0.25">
      <c r="B618" t="s">
        <v>55</v>
      </c>
      <c r="C618" t="s">
        <v>967</v>
      </c>
      <c r="D618" t="s">
        <v>968</v>
      </c>
      <c r="E618">
        <v>0</v>
      </c>
    </row>
    <row r="619" spans="2:5" x14ac:dyDescent="0.25">
      <c r="B619" t="s">
        <v>55</v>
      </c>
      <c r="C619" t="s">
        <v>967</v>
      </c>
      <c r="D619" t="s">
        <v>968</v>
      </c>
      <c r="E619">
        <v>0</v>
      </c>
    </row>
    <row r="620" spans="2:5" x14ac:dyDescent="0.25">
      <c r="B620" t="s">
        <v>377</v>
      </c>
      <c r="C620" t="s">
        <v>969</v>
      </c>
      <c r="D620" t="s">
        <v>970</v>
      </c>
      <c r="E620">
        <v>0</v>
      </c>
    </row>
    <row r="621" spans="2:5" x14ac:dyDescent="0.25">
      <c r="B621" t="s">
        <v>377</v>
      </c>
      <c r="C621" t="s">
        <v>969</v>
      </c>
      <c r="D621" t="s">
        <v>970</v>
      </c>
      <c r="E621">
        <v>0</v>
      </c>
    </row>
    <row r="622" spans="2:5" x14ac:dyDescent="0.25">
      <c r="B622" t="s">
        <v>131</v>
      </c>
      <c r="C622" t="s">
        <v>971</v>
      </c>
      <c r="D622" t="s">
        <v>803</v>
      </c>
      <c r="E622">
        <v>0</v>
      </c>
    </row>
    <row r="623" spans="2:5" x14ac:dyDescent="0.25">
      <c r="B623" t="s">
        <v>217</v>
      </c>
      <c r="C623" t="s">
        <v>972</v>
      </c>
      <c r="D623" t="s">
        <v>973</v>
      </c>
      <c r="E623">
        <v>2215</v>
      </c>
    </row>
    <row r="624" spans="2:5" x14ac:dyDescent="0.25">
      <c r="B624" t="s">
        <v>217</v>
      </c>
      <c r="C624" t="s">
        <v>972</v>
      </c>
      <c r="D624" t="s">
        <v>973</v>
      </c>
      <c r="E624">
        <v>0</v>
      </c>
    </row>
    <row r="625" spans="2:5" x14ac:dyDescent="0.25">
      <c r="B625" t="s">
        <v>145</v>
      </c>
      <c r="C625" t="s">
        <v>974</v>
      </c>
      <c r="D625" t="s">
        <v>975</v>
      </c>
      <c r="E625">
        <v>154</v>
      </c>
    </row>
    <row r="626" spans="2:5" x14ac:dyDescent="0.25">
      <c r="B626" t="s">
        <v>145</v>
      </c>
      <c r="C626" t="s">
        <v>974</v>
      </c>
      <c r="D626" t="s">
        <v>975</v>
      </c>
      <c r="E626">
        <v>0</v>
      </c>
    </row>
    <row r="627" spans="2:5" x14ac:dyDescent="0.25">
      <c r="B627" t="s">
        <v>145</v>
      </c>
      <c r="C627" t="s">
        <v>974</v>
      </c>
      <c r="D627" t="s">
        <v>975</v>
      </c>
      <c r="E627">
        <v>0</v>
      </c>
    </row>
    <row r="628" spans="2:5" x14ac:dyDescent="0.25">
      <c r="B628" t="s">
        <v>217</v>
      </c>
      <c r="C628" t="s">
        <v>976</v>
      </c>
      <c r="D628" t="s">
        <v>977</v>
      </c>
      <c r="E628">
        <v>0</v>
      </c>
    </row>
    <row r="629" spans="2:5" x14ac:dyDescent="0.25">
      <c r="B629" t="s">
        <v>978</v>
      </c>
      <c r="C629" t="s">
        <v>979</v>
      </c>
      <c r="D629" t="s">
        <v>980</v>
      </c>
      <c r="E629">
        <v>0</v>
      </c>
    </row>
    <row r="630" spans="2:5" x14ac:dyDescent="0.25">
      <c r="B630" t="s">
        <v>978</v>
      </c>
      <c r="C630" t="s">
        <v>979</v>
      </c>
      <c r="D630" t="s">
        <v>980</v>
      </c>
      <c r="E630">
        <v>0</v>
      </c>
    </row>
    <row r="631" spans="2:5" x14ac:dyDescent="0.25">
      <c r="B631" t="s">
        <v>117</v>
      </c>
      <c r="C631" t="s">
        <v>981</v>
      </c>
      <c r="D631" t="s">
        <v>982</v>
      </c>
      <c r="E631">
        <v>0</v>
      </c>
    </row>
    <row r="632" spans="2:5" x14ac:dyDescent="0.25">
      <c r="B632" t="s">
        <v>73</v>
      </c>
      <c r="C632" t="s">
        <v>983</v>
      </c>
      <c r="D632" t="s">
        <v>984</v>
      </c>
      <c r="E632">
        <v>125</v>
      </c>
    </row>
    <row r="633" spans="2:5" x14ac:dyDescent="0.25">
      <c r="B633" t="s">
        <v>73</v>
      </c>
      <c r="C633" t="s">
        <v>983</v>
      </c>
      <c r="D633" t="s">
        <v>984</v>
      </c>
      <c r="E633">
        <v>60</v>
      </c>
    </row>
    <row r="634" spans="2:5" x14ac:dyDescent="0.25">
      <c r="B634" t="s">
        <v>352</v>
      </c>
      <c r="C634" t="s">
        <v>985</v>
      </c>
      <c r="D634" t="s">
        <v>986</v>
      </c>
      <c r="E634">
        <v>0</v>
      </c>
    </row>
    <row r="635" spans="2:5" x14ac:dyDescent="0.25">
      <c r="B635" t="s">
        <v>352</v>
      </c>
      <c r="C635" t="s">
        <v>987</v>
      </c>
      <c r="D635" t="s">
        <v>988</v>
      </c>
      <c r="E635">
        <v>1280</v>
      </c>
    </row>
    <row r="636" spans="2:5" x14ac:dyDescent="0.25">
      <c r="B636" t="s">
        <v>352</v>
      </c>
      <c r="C636" t="s">
        <v>989</v>
      </c>
      <c r="D636" t="s">
        <v>990</v>
      </c>
      <c r="E636">
        <v>0</v>
      </c>
    </row>
    <row r="637" spans="2:5" x14ac:dyDescent="0.25">
      <c r="B637" t="s">
        <v>352</v>
      </c>
      <c r="C637" t="s">
        <v>989</v>
      </c>
      <c r="D637" t="s">
        <v>990</v>
      </c>
      <c r="E637">
        <v>0</v>
      </c>
    </row>
    <row r="638" spans="2:5" x14ac:dyDescent="0.25">
      <c r="B638" t="s">
        <v>352</v>
      </c>
      <c r="C638" t="s">
        <v>542</v>
      </c>
      <c r="D638" t="s">
        <v>543</v>
      </c>
      <c r="E638">
        <v>0</v>
      </c>
    </row>
    <row r="639" spans="2:5" x14ac:dyDescent="0.25">
      <c r="B639" t="s">
        <v>80</v>
      </c>
      <c r="C639" t="s">
        <v>572</v>
      </c>
      <c r="D639" t="s">
        <v>573</v>
      </c>
      <c r="E639">
        <v>789</v>
      </c>
    </row>
    <row r="640" spans="2:5" x14ac:dyDescent="0.25">
      <c r="B640" t="s">
        <v>83</v>
      </c>
      <c r="C640" t="s">
        <v>991</v>
      </c>
      <c r="D640" t="s">
        <v>992</v>
      </c>
      <c r="E640">
        <v>544</v>
      </c>
    </row>
    <row r="641" spans="2:5" x14ac:dyDescent="0.25">
      <c r="B641" t="s">
        <v>83</v>
      </c>
      <c r="C641" t="s">
        <v>991</v>
      </c>
      <c r="D641" t="s">
        <v>992</v>
      </c>
      <c r="E641">
        <v>0</v>
      </c>
    </row>
    <row r="642" spans="2:5" x14ac:dyDescent="0.25">
      <c r="B642" t="s">
        <v>83</v>
      </c>
      <c r="C642" t="s">
        <v>993</v>
      </c>
      <c r="D642" t="s">
        <v>994</v>
      </c>
      <c r="E642">
        <v>6980</v>
      </c>
    </row>
    <row r="643" spans="2:5" x14ac:dyDescent="0.25">
      <c r="B643" t="s">
        <v>83</v>
      </c>
      <c r="C643" t="s">
        <v>993</v>
      </c>
      <c r="D643" t="s">
        <v>994</v>
      </c>
      <c r="E643">
        <v>0</v>
      </c>
    </row>
    <row r="644" spans="2:5" x14ac:dyDescent="0.25">
      <c r="B644" t="s">
        <v>52</v>
      </c>
      <c r="C644" t="s">
        <v>592</v>
      </c>
      <c r="D644" t="s">
        <v>593</v>
      </c>
      <c r="E644">
        <v>57</v>
      </c>
    </row>
    <row r="645" spans="2:5" x14ac:dyDescent="0.25">
      <c r="B645" t="s">
        <v>52</v>
      </c>
      <c r="C645" t="s">
        <v>592</v>
      </c>
      <c r="D645" t="s">
        <v>593</v>
      </c>
      <c r="E645">
        <v>0</v>
      </c>
    </row>
    <row r="646" spans="2:5" x14ac:dyDescent="0.25">
      <c r="B646" t="s">
        <v>52</v>
      </c>
      <c r="C646" t="s">
        <v>578</v>
      </c>
      <c r="D646" t="s">
        <v>579</v>
      </c>
      <c r="E646">
        <v>625</v>
      </c>
    </row>
    <row r="647" spans="2:5" x14ac:dyDescent="0.25">
      <c r="B647" t="s">
        <v>52</v>
      </c>
      <c r="C647" t="s">
        <v>578</v>
      </c>
      <c r="D647" t="s">
        <v>579</v>
      </c>
      <c r="E647">
        <v>0</v>
      </c>
    </row>
    <row r="648" spans="2:5" x14ac:dyDescent="0.25">
      <c r="B648" t="s">
        <v>521</v>
      </c>
      <c r="C648" t="s">
        <v>995</v>
      </c>
      <c r="D648" t="s">
        <v>996</v>
      </c>
      <c r="E648">
        <v>0</v>
      </c>
    </row>
    <row r="649" spans="2:5" x14ac:dyDescent="0.25">
      <c r="B649" t="s">
        <v>521</v>
      </c>
      <c r="C649" t="s">
        <v>995</v>
      </c>
      <c r="D649" t="s">
        <v>996</v>
      </c>
      <c r="E649">
        <v>0</v>
      </c>
    </row>
    <row r="650" spans="2:5" x14ac:dyDescent="0.25">
      <c r="B650" t="s">
        <v>8</v>
      </c>
      <c r="C650" t="s">
        <v>997</v>
      </c>
      <c r="D650" t="s">
        <v>998</v>
      </c>
      <c r="E650">
        <v>0</v>
      </c>
    </row>
    <row r="651" spans="2:5" x14ac:dyDescent="0.25">
      <c r="B651" t="s">
        <v>8</v>
      </c>
      <c r="C651" t="s">
        <v>999</v>
      </c>
      <c r="D651" t="s">
        <v>1000</v>
      </c>
      <c r="E651">
        <v>3</v>
      </c>
    </row>
    <row r="652" spans="2:5" x14ac:dyDescent="0.25">
      <c r="B652" t="s">
        <v>17</v>
      </c>
      <c r="C652" t="s">
        <v>1001</v>
      </c>
      <c r="D652" t="s">
        <v>1002</v>
      </c>
      <c r="E652">
        <v>15900</v>
      </c>
    </row>
    <row r="653" spans="2:5" x14ac:dyDescent="0.25">
      <c r="B653" t="s">
        <v>17</v>
      </c>
      <c r="C653" t="s">
        <v>1001</v>
      </c>
      <c r="D653" t="s">
        <v>1002</v>
      </c>
      <c r="E653">
        <v>0</v>
      </c>
    </row>
    <row r="654" spans="2:5" x14ac:dyDescent="0.25">
      <c r="B654" t="s">
        <v>20</v>
      </c>
      <c r="C654" t="s">
        <v>1003</v>
      </c>
      <c r="D654" t="s">
        <v>1004</v>
      </c>
      <c r="E654">
        <v>450</v>
      </c>
    </row>
    <row r="655" spans="2:5" x14ac:dyDescent="0.25">
      <c r="B655" t="s">
        <v>20</v>
      </c>
      <c r="C655" t="s">
        <v>1003</v>
      </c>
      <c r="D655" t="s">
        <v>1004</v>
      </c>
      <c r="E655">
        <v>0</v>
      </c>
    </row>
    <row r="656" spans="2:5" x14ac:dyDescent="0.25">
      <c r="B656" t="s">
        <v>20</v>
      </c>
      <c r="C656" t="s">
        <v>1003</v>
      </c>
      <c r="D656" t="s">
        <v>1004</v>
      </c>
      <c r="E656">
        <v>0</v>
      </c>
    </row>
    <row r="657" spans="2:5" x14ac:dyDescent="0.25">
      <c r="B657" t="s">
        <v>20</v>
      </c>
      <c r="C657" t="s">
        <v>459</v>
      </c>
      <c r="D657" t="s">
        <v>460</v>
      </c>
      <c r="E657">
        <v>18420</v>
      </c>
    </row>
    <row r="658" spans="2:5" x14ac:dyDescent="0.25">
      <c r="B658" t="s">
        <v>20</v>
      </c>
      <c r="C658" t="s">
        <v>588</v>
      </c>
      <c r="D658" t="s">
        <v>589</v>
      </c>
      <c r="E658">
        <v>0</v>
      </c>
    </row>
    <row r="659" spans="2:5" x14ac:dyDescent="0.25">
      <c r="B659" t="s">
        <v>25</v>
      </c>
      <c r="C659" t="s">
        <v>470</v>
      </c>
      <c r="D659" t="s">
        <v>471</v>
      </c>
      <c r="E659">
        <v>5537</v>
      </c>
    </row>
    <row r="660" spans="2:5" x14ac:dyDescent="0.25">
      <c r="B660" t="s">
        <v>1005</v>
      </c>
      <c r="C660" t="s">
        <v>1006</v>
      </c>
      <c r="D660" t="s">
        <v>1007</v>
      </c>
      <c r="E660">
        <v>2400</v>
      </c>
    </row>
    <row r="661" spans="2:5" x14ac:dyDescent="0.25">
      <c r="B661" t="s">
        <v>49</v>
      </c>
      <c r="C661" t="s">
        <v>1008</v>
      </c>
      <c r="D661" t="s">
        <v>1009</v>
      </c>
      <c r="E661">
        <v>2570</v>
      </c>
    </row>
    <row r="662" spans="2:5" x14ac:dyDescent="0.25">
      <c r="B662" t="s">
        <v>14</v>
      </c>
      <c r="C662" t="s">
        <v>1010</v>
      </c>
      <c r="D662" t="s">
        <v>1011</v>
      </c>
      <c r="E662">
        <v>0</v>
      </c>
    </row>
    <row r="663" spans="2:5" x14ac:dyDescent="0.25">
      <c r="B663" t="s">
        <v>14</v>
      </c>
      <c r="C663" t="s">
        <v>1012</v>
      </c>
      <c r="D663" t="s">
        <v>1013</v>
      </c>
      <c r="E663">
        <v>0</v>
      </c>
    </row>
    <row r="664" spans="2:5" x14ac:dyDescent="0.25">
      <c r="B664" t="s">
        <v>49</v>
      </c>
      <c r="C664" t="s">
        <v>1008</v>
      </c>
      <c r="D664" t="s">
        <v>1009</v>
      </c>
      <c r="E664">
        <v>0</v>
      </c>
    </row>
    <row r="665" spans="2:5" x14ac:dyDescent="0.25">
      <c r="B665" t="s">
        <v>217</v>
      </c>
      <c r="C665" t="s">
        <v>1051</v>
      </c>
      <c r="D665" t="s">
        <v>1052</v>
      </c>
      <c r="E665">
        <v>0</v>
      </c>
    </row>
    <row r="666" spans="2:5" x14ac:dyDescent="0.25">
      <c r="B666" t="s">
        <v>217</v>
      </c>
      <c r="C666" t="s">
        <v>976</v>
      </c>
      <c r="D666" t="s">
        <v>977</v>
      </c>
      <c r="E666">
        <v>0</v>
      </c>
    </row>
    <row r="667" spans="2:5" x14ac:dyDescent="0.25">
      <c r="B667" t="s">
        <v>217</v>
      </c>
      <c r="C667" t="s">
        <v>1264</v>
      </c>
      <c r="D667" t="s">
        <v>1265</v>
      </c>
      <c r="E667">
        <v>0</v>
      </c>
    </row>
    <row r="668" spans="2:5" x14ac:dyDescent="0.25">
      <c r="B668" t="s">
        <v>164</v>
      </c>
      <c r="C668" t="s">
        <v>1266</v>
      </c>
      <c r="D668" t="s">
        <v>1267</v>
      </c>
      <c r="E668">
        <v>0</v>
      </c>
    </row>
    <row r="669" spans="2:5" x14ac:dyDescent="0.25">
      <c r="B669" t="s">
        <v>20</v>
      </c>
      <c r="C669" t="s">
        <v>1268</v>
      </c>
      <c r="D669" t="s">
        <v>1269</v>
      </c>
      <c r="E669">
        <v>0</v>
      </c>
    </row>
    <row r="670" spans="2:5" x14ac:dyDescent="0.25">
      <c r="B670" t="s">
        <v>554</v>
      </c>
      <c r="C670" t="s">
        <v>555</v>
      </c>
      <c r="D670" t="s">
        <v>556</v>
      </c>
      <c r="E670">
        <v>1050</v>
      </c>
    </row>
    <row r="671" spans="2:5" x14ac:dyDescent="0.25">
      <c r="B671" t="s">
        <v>83</v>
      </c>
      <c r="C671" t="s">
        <v>1270</v>
      </c>
      <c r="D671" t="s">
        <v>1271</v>
      </c>
      <c r="E671">
        <v>0</v>
      </c>
    </row>
    <row r="672" spans="2:5" x14ac:dyDescent="0.25">
      <c r="B672" t="s">
        <v>106</v>
      </c>
      <c r="C672" t="s">
        <v>1272</v>
      </c>
      <c r="D672" t="s">
        <v>1273</v>
      </c>
      <c r="E672">
        <v>0</v>
      </c>
    </row>
    <row r="673" spans="2:5" x14ac:dyDescent="0.25">
      <c r="B673" t="s">
        <v>20</v>
      </c>
      <c r="C673" t="s">
        <v>1274</v>
      </c>
      <c r="D673" t="s">
        <v>1275</v>
      </c>
      <c r="E673">
        <v>0</v>
      </c>
    </row>
    <row r="674" spans="2:5" x14ac:dyDescent="0.25">
      <c r="B674" t="s">
        <v>20</v>
      </c>
      <c r="C674" t="s">
        <v>1276</v>
      </c>
      <c r="D674" t="s">
        <v>1277</v>
      </c>
      <c r="E674">
        <v>0</v>
      </c>
    </row>
    <row r="675" spans="2:5" x14ac:dyDescent="0.25">
      <c r="B675" t="s">
        <v>17</v>
      </c>
      <c r="C675" t="s">
        <v>1278</v>
      </c>
      <c r="D675" t="s">
        <v>1279</v>
      </c>
      <c r="E675">
        <v>0</v>
      </c>
    </row>
    <row r="676" spans="2:5" x14ac:dyDescent="0.25">
      <c r="B676" t="s">
        <v>11</v>
      </c>
      <c r="C676" t="s">
        <v>464</v>
      </c>
      <c r="D676" t="s">
        <v>465</v>
      </c>
      <c r="E676">
        <v>0</v>
      </c>
    </row>
    <row r="677" spans="2:5" x14ac:dyDescent="0.25">
      <c r="B677" t="s">
        <v>70</v>
      </c>
      <c r="C677" t="s">
        <v>1280</v>
      </c>
      <c r="D677" t="s">
        <v>1281</v>
      </c>
      <c r="E677">
        <v>0</v>
      </c>
    </row>
    <row r="678" spans="2:5" x14ac:dyDescent="0.25">
      <c r="B678" t="s">
        <v>461</v>
      </c>
      <c r="C678" t="s">
        <v>462</v>
      </c>
      <c r="D678" t="s">
        <v>463</v>
      </c>
      <c r="E678">
        <v>0</v>
      </c>
    </row>
    <row r="679" spans="2:5" x14ac:dyDescent="0.25">
      <c r="B679" t="s">
        <v>14</v>
      </c>
      <c r="C679" t="s">
        <v>482</v>
      </c>
      <c r="D679" t="s">
        <v>483</v>
      </c>
      <c r="E679">
        <v>0</v>
      </c>
    </row>
    <row r="680" spans="2:5" x14ac:dyDescent="0.25">
      <c r="B680" t="s">
        <v>237</v>
      </c>
      <c r="C680" t="s">
        <v>1282</v>
      </c>
      <c r="D680" t="s">
        <v>1283</v>
      </c>
      <c r="E680">
        <v>0</v>
      </c>
    </row>
    <row r="681" spans="2:5" x14ac:dyDescent="0.25">
      <c r="B681" t="s">
        <v>1284</v>
      </c>
      <c r="C681" t="s">
        <v>1285</v>
      </c>
      <c r="D681" t="s">
        <v>1286</v>
      </c>
      <c r="E681">
        <v>0</v>
      </c>
    </row>
    <row r="682" spans="2:5" x14ac:dyDescent="0.25">
      <c r="B682" t="s">
        <v>217</v>
      </c>
      <c r="C682" t="s">
        <v>1287</v>
      </c>
      <c r="D682" t="s">
        <v>1288</v>
      </c>
      <c r="E682">
        <v>7280</v>
      </c>
    </row>
    <row r="683" spans="2:5" x14ac:dyDescent="0.25">
      <c r="B683" t="s">
        <v>52</v>
      </c>
      <c r="C683" t="s">
        <v>873</v>
      </c>
      <c r="D683" t="s">
        <v>874</v>
      </c>
      <c r="E683">
        <v>0</v>
      </c>
    </row>
    <row r="684" spans="2:5" x14ac:dyDescent="0.25">
      <c r="B684" t="s">
        <v>518</v>
      </c>
      <c r="C684" t="s">
        <v>875</v>
      </c>
      <c r="D684" t="s">
        <v>876</v>
      </c>
      <c r="E684">
        <v>0</v>
      </c>
    </row>
    <row r="685" spans="2:5" x14ac:dyDescent="0.25">
      <c r="B685" t="s">
        <v>521</v>
      </c>
      <c r="C685" t="s">
        <v>877</v>
      </c>
      <c r="D685" t="s">
        <v>878</v>
      </c>
      <c r="E685">
        <v>1660</v>
      </c>
    </row>
    <row r="686" spans="2:5" x14ac:dyDescent="0.25">
      <c r="B686" t="s">
        <v>521</v>
      </c>
      <c r="C686" t="s">
        <v>877</v>
      </c>
      <c r="D686" t="s">
        <v>878</v>
      </c>
      <c r="E686">
        <v>0</v>
      </c>
    </row>
    <row r="687" spans="2:5" x14ac:dyDescent="0.25">
      <c r="B687" t="s">
        <v>521</v>
      </c>
      <c r="C687" t="s">
        <v>879</v>
      </c>
      <c r="D687" t="s">
        <v>880</v>
      </c>
      <c r="E687">
        <v>0</v>
      </c>
    </row>
    <row r="688" spans="2:5" x14ac:dyDescent="0.25">
      <c r="B688" t="s">
        <v>521</v>
      </c>
      <c r="C688" t="s">
        <v>879</v>
      </c>
      <c r="D688" t="s">
        <v>880</v>
      </c>
      <c r="E688">
        <v>0</v>
      </c>
    </row>
    <row r="689" spans="2:5" x14ac:dyDescent="0.25">
      <c r="B689" t="s">
        <v>687</v>
      </c>
      <c r="C689" t="s">
        <v>881</v>
      </c>
      <c r="D689" t="s">
        <v>882</v>
      </c>
      <c r="E689">
        <v>0</v>
      </c>
    </row>
    <row r="690" spans="2:5" x14ac:dyDescent="0.25">
      <c r="B690" t="s">
        <v>687</v>
      </c>
      <c r="C690" t="s">
        <v>881</v>
      </c>
      <c r="D690" t="s">
        <v>882</v>
      </c>
      <c r="E690">
        <v>0</v>
      </c>
    </row>
    <row r="691" spans="2:5" x14ac:dyDescent="0.25">
      <c r="B691" t="s">
        <v>8</v>
      </c>
      <c r="C691" t="s">
        <v>883</v>
      </c>
      <c r="D691" t="s">
        <v>884</v>
      </c>
      <c r="E691">
        <v>0</v>
      </c>
    </row>
    <row r="692" spans="2:5" x14ac:dyDescent="0.25">
      <c r="B692" t="s">
        <v>8</v>
      </c>
      <c r="C692" t="s">
        <v>885</v>
      </c>
      <c r="D692" t="s">
        <v>886</v>
      </c>
      <c r="E692">
        <v>0</v>
      </c>
    </row>
    <row r="693" spans="2:5" x14ac:dyDescent="0.25">
      <c r="B693" t="s">
        <v>8</v>
      </c>
      <c r="C693" t="s">
        <v>885</v>
      </c>
      <c r="D693" t="s">
        <v>886</v>
      </c>
      <c r="E693">
        <v>0</v>
      </c>
    </row>
    <row r="694" spans="2:5" x14ac:dyDescent="0.25">
      <c r="B694" t="s">
        <v>8</v>
      </c>
      <c r="C694" t="s">
        <v>300</v>
      </c>
      <c r="D694" t="s">
        <v>301</v>
      </c>
      <c r="E694">
        <v>0</v>
      </c>
    </row>
    <row r="695" spans="2:5" x14ac:dyDescent="0.25">
      <c r="B695" t="s">
        <v>887</v>
      </c>
      <c r="C695" t="s">
        <v>888</v>
      </c>
      <c r="D695" t="s">
        <v>889</v>
      </c>
      <c r="E695">
        <v>0</v>
      </c>
    </row>
    <row r="696" spans="2:5" x14ac:dyDescent="0.25">
      <c r="B696" t="s">
        <v>34</v>
      </c>
      <c r="C696" t="s">
        <v>890</v>
      </c>
      <c r="D696" t="s">
        <v>891</v>
      </c>
      <c r="E696">
        <v>0</v>
      </c>
    </row>
    <row r="697" spans="2:5" x14ac:dyDescent="0.25">
      <c r="B697" t="s">
        <v>261</v>
      </c>
      <c r="C697" t="s">
        <v>892</v>
      </c>
      <c r="D697" t="s">
        <v>893</v>
      </c>
      <c r="E697">
        <v>5620</v>
      </c>
    </row>
    <row r="698" spans="2:5" x14ac:dyDescent="0.25">
      <c r="B698" t="s">
        <v>14</v>
      </c>
      <c r="C698" t="s">
        <v>320</v>
      </c>
      <c r="D698" t="s">
        <v>321</v>
      </c>
      <c r="E698">
        <v>0</v>
      </c>
    </row>
    <row r="699" spans="2:5" x14ac:dyDescent="0.25">
      <c r="B699" t="s">
        <v>49</v>
      </c>
      <c r="C699" t="s">
        <v>894</v>
      </c>
      <c r="D699" t="s">
        <v>895</v>
      </c>
      <c r="E699">
        <v>71</v>
      </c>
    </row>
    <row r="700" spans="2:5" x14ac:dyDescent="0.25">
      <c r="B700" t="s">
        <v>49</v>
      </c>
      <c r="C700" t="s">
        <v>894</v>
      </c>
      <c r="D700" t="s">
        <v>895</v>
      </c>
      <c r="E700">
        <v>0</v>
      </c>
    </row>
    <row r="701" spans="2:5" x14ac:dyDescent="0.25">
      <c r="B701" t="s">
        <v>261</v>
      </c>
      <c r="C701" t="s">
        <v>892</v>
      </c>
      <c r="D701" t="s">
        <v>893</v>
      </c>
      <c r="E701">
        <v>0</v>
      </c>
    </row>
    <row r="702" spans="2:5" x14ac:dyDescent="0.25">
      <c r="B702" t="s">
        <v>131</v>
      </c>
      <c r="C702" t="s">
        <v>927</v>
      </c>
      <c r="D702" t="s">
        <v>928</v>
      </c>
      <c r="E702">
        <v>0</v>
      </c>
    </row>
    <row r="703" spans="2:5" x14ac:dyDescent="0.25">
      <c r="B703" t="s">
        <v>70</v>
      </c>
      <c r="C703" t="s">
        <v>929</v>
      </c>
      <c r="D703" t="s">
        <v>930</v>
      </c>
      <c r="E703">
        <v>0</v>
      </c>
    </row>
    <row r="704" spans="2:5" x14ac:dyDescent="0.25">
      <c r="B704" t="s">
        <v>217</v>
      </c>
      <c r="C704" t="s">
        <v>931</v>
      </c>
      <c r="D704" t="s">
        <v>932</v>
      </c>
      <c r="E704">
        <v>0</v>
      </c>
    </row>
    <row r="705" spans="2:5" x14ac:dyDescent="0.25">
      <c r="B705" t="s">
        <v>164</v>
      </c>
      <c r="C705" t="s">
        <v>443</v>
      </c>
      <c r="D705" t="s">
        <v>444</v>
      </c>
      <c r="E705">
        <v>0</v>
      </c>
    </row>
    <row r="706" spans="2:5" x14ac:dyDescent="0.25">
      <c r="B706" t="s">
        <v>164</v>
      </c>
      <c r="C706" t="s">
        <v>400</v>
      </c>
      <c r="D706" t="s">
        <v>401</v>
      </c>
      <c r="E706">
        <v>0</v>
      </c>
    </row>
    <row r="707" spans="2:5" x14ac:dyDescent="0.25">
      <c r="B707" t="s">
        <v>164</v>
      </c>
      <c r="C707" t="s">
        <v>402</v>
      </c>
      <c r="D707" t="s">
        <v>403</v>
      </c>
      <c r="E707">
        <v>0</v>
      </c>
    </row>
    <row r="708" spans="2:5" x14ac:dyDescent="0.25">
      <c r="B708" t="s">
        <v>106</v>
      </c>
      <c r="C708" t="s">
        <v>933</v>
      </c>
      <c r="D708" t="s">
        <v>934</v>
      </c>
      <c r="E708">
        <v>84</v>
      </c>
    </row>
    <row r="709" spans="2:5" x14ac:dyDescent="0.25">
      <c r="B709" t="s">
        <v>209</v>
      </c>
      <c r="C709" t="s">
        <v>935</v>
      </c>
      <c r="D709" t="s">
        <v>936</v>
      </c>
      <c r="E709">
        <v>0</v>
      </c>
    </row>
    <row r="710" spans="2:5" x14ac:dyDescent="0.25">
      <c r="B710" t="s">
        <v>209</v>
      </c>
      <c r="C710" t="s">
        <v>937</v>
      </c>
      <c r="D710" t="s">
        <v>938</v>
      </c>
      <c r="E710">
        <v>0</v>
      </c>
    </row>
    <row r="711" spans="2:5" x14ac:dyDescent="0.25">
      <c r="B711" t="s">
        <v>203</v>
      </c>
      <c r="C711" t="s">
        <v>449</v>
      </c>
      <c r="D711" t="s">
        <v>450</v>
      </c>
      <c r="E711">
        <v>0</v>
      </c>
    </row>
    <row r="712" spans="2:5" x14ac:dyDescent="0.25">
      <c r="B712" t="s">
        <v>25</v>
      </c>
      <c r="C712" t="s">
        <v>913</v>
      </c>
      <c r="D712" t="s">
        <v>914</v>
      </c>
      <c r="E712">
        <v>0</v>
      </c>
    </row>
    <row r="713" spans="2:5" x14ac:dyDescent="0.25">
      <c r="B713" t="s">
        <v>52</v>
      </c>
      <c r="C713" t="s">
        <v>939</v>
      </c>
      <c r="D713" t="s">
        <v>940</v>
      </c>
      <c r="E713">
        <v>0</v>
      </c>
    </row>
    <row r="714" spans="2:5" x14ac:dyDescent="0.25">
      <c r="B714" t="s">
        <v>14</v>
      </c>
      <c r="C714" t="s">
        <v>318</v>
      </c>
      <c r="D714" t="s">
        <v>319</v>
      </c>
      <c r="E714">
        <v>0</v>
      </c>
    </row>
    <row r="715" spans="2:5" x14ac:dyDescent="0.25">
      <c r="B715" t="s">
        <v>438</v>
      </c>
      <c r="C715" t="s">
        <v>439</v>
      </c>
      <c r="D715" t="s">
        <v>440</v>
      </c>
      <c r="E715">
        <v>0</v>
      </c>
    </row>
    <row r="716" spans="2:5" x14ac:dyDescent="0.25">
      <c r="B716" t="s">
        <v>11</v>
      </c>
      <c r="C716" t="s">
        <v>941</v>
      </c>
      <c r="D716" t="s">
        <v>942</v>
      </c>
      <c r="E716">
        <v>0</v>
      </c>
    </row>
    <row r="717" spans="2:5" x14ac:dyDescent="0.25">
      <c r="B717" t="s">
        <v>131</v>
      </c>
      <c r="C717" t="s">
        <v>943</v>
      </c>
      <c r="D717" t="s">
        <v>944</v>
      </c>
      <c r="E717">
        <v>0</v>
      </c>
    </row>
    <row r="718" spans="2:5" x14ac:dyDescent="0.25">
      <c r="B718" t="s">
        <v>518</v>
      </c>
      <c r="C718" t="s">
        <v>875</v>
      </c>
      <c r="D718" t="s">
        <v>876</v>
      </c>
      <c r="E718">
        <v>0</v>
      </c>
    </row>
    <row r="719" spans="2:5" x14ac:dyDescent="0.25">
      <c r="B719" t="s">
        <v>131</v>
      </c>
      <c r="C719" t="s">
        <v>943</v>
      </c>
      <c r="D719" t="s">
        <v>944</v>
      </c>
      <c r="E719">
        <v>45</v>
      </c>
    </row>
    <row r="720" spans="2:5" x14ac:dyDescent="0.25">
      <c r="B720" t="s">
        <v>131</v>
      </c>
      <c r="C720" t="s">
        <v>945</v>
      </c>
      <c r="D720" t="s">
        <v>946</v>
      </c>
      <c r="E720">
        <v>150</v>
      </c>
    </row>
    <row r="721" spans="2:5" x14ac:dyDescent="0.25">
      <c r="B721" t="s">
        <v>131</v>
      </c>
      <c r="C721" t="s">
        <v>945</v>
      </c>
      <c r="D721" t="s">
        <v>946</v>
      </c>
      <c r="E721">
        <v>0</v>
      </c>
    </row>
    <row r="722" spans="2:5" x14ac:dyDescent="0.25">
      <c r="B722" t="s">
        <v>58</v>
      </c>
      <c r="C722" t="s">
        <v>947</v>
      </c>
      <c r="D722" t="s">
        <v>948</v>
      </c>
      <c r="E722">
        <v>2700</v>
      </c>
    </row>
    <row r="723" spans="2:5" x14ac:dyDescent="0.25">
      <c r="B723" t="s">
        <v>222</v>
      </c>
      <c r="C723" t="s">
        <v>949</v>
      </c>
      <c r="D723" t="s">
        <v>950</v>
      </c>
      <c r="E723">
        <v>0</v>
      </c>
    </row>
    <row r="724" spans="2:5" x14ac:dyDescent="0.25">
      <c r="B724" t="s">
        <v>222</v>
      </c>
      <c r="C724" t="s">
        <v>949</v>
      </c>
      <c r="D724" t="s">
        <v>950</v>
      </c>
      <c r="E724">
        <v>0</v>
      </c>
    </row>
    <row r="725" spans="2:5" x14ac:dyDescent="0.25">
      <c r="B725" t="s">
        <v>377</v>
      </c>
      <c r="C725" t="s">
        <v>378</v>
      </c>
      <c r="D725" t="s">
        <v>379</v>
      </c>
      <c r="E725">
        <v>720</v>
      </c>
    </row>
    <row r="726" spans="2:5" x14ac:dyDescent="0.25">
      <c r="B726" t="s">
        <v>377</v>
      </c>
      <c r="C726" t="s">
        <v>378</v>
      </c>
      <c r="D726" t="s">
        <v>379</v>
      </c>
      <c r="E726">
        <v>0</v>
      </c>
    </row>
    <row r="727" spans="2:5" x14ac:dyDescent="0.25">
      <c r="B727" t="s">
        <v>61</v>
      </c>
      <c r="C727" t="s">
        <v>1169</v>
      </c>
      <c r="D727" t="s">
        <v>1170</v>
      </c>
      <c r="E727">
        <v>0</v>
      </c>
    </row>
    <row r="728" spans="2:5" x14ac:dyDescent="0.25">
      <c r="B728" t="s">
        <v>61</v>
      </c>
      <c r="C728" t="s">
        <v>1171</v>
      </c>
      <c r="D728" t="s">
        <v>1172</v>
      </c>
      <c r="E728">
        <v>22</v>
      </c>
    </row>
    <row r="729" spans="2:5" x14ac:dyDescent="0.25">
      <c r="B729" t="s">
        <v>61</v>
      </c>
      <c r="C729" t="s">
        <v>1171</v>
      </c>
      <c r="D729" t="s">
        <v>1172</v>
      </c>
      <c r="E729">
        <v>0</v>
      </c>
    </row>
    <row r="730" spans="2:5" x14ac:dyDescent="0.25">
      <c r="B730" t="s">
        <v>496</v>
      </c>
      <c r="C730" t="s">
        <v>1173</v>
      </c>
      <c r="D730" t="s">
        <v>1174</v>
      </c>
      <c r="E730">
        <v>0</v>
      </c>
    </row>
    <row r="731" spans="2:5" x14ac:dyDescent="0.25">
      <c r="B731" t="s">
        <v>496</v>
      </c>
      <c r="C731" t="s">
        <v>1173</v>
      </c>
      <c r="D731" t="s">
        <v>1174</v>
      </c>
      <c r="E731">
        <v>0</v>
      </c>
    </row>
    <row r="732" spans="2:5" x14ac:dyDescent="0.25">
      <c r="B732" t="s">
        <v>217</v>
      </c>
      <c r="C732" t="s">
        <v>1175</v>
      </c>
      <c r="D732" t="s">
        <v>1176</v>
      </c>
      <c r="E732">
        <v>900</v>
      </c>
    </row>
    <row r="733" spans="2:5" x14ac:dyDescent="0.25">
      <c r="B733" t="s">
        <v>64</v>
      </c>
      <c r="C733" t="s">
        <v>1177</v>
      </c>
      <c r="D733" t="s">
        <v>1178</v>
      </c>
      <c r="E733">
        <v>70</v>
      </c>
    </row>
    <row r="734" spans="2:5" x14ac:dyDescent="0.25">
      <c r="B734" t="s">
        <v>64</v>
      </c>
      <c r="C734" t="s">
        <v>1179</v>
      </c>
      <c r="D734" t="s">
        <v>1180</v>
      </c>
      <c r="E734">
        <v>0</v>
      </c>
    </row>
    <row r="735" spans="2:5" x14ac:dyDescent="0.25">
      <c r="B735" t="s">
        <v>64</v>
      </c>
      <c r="C735" t="s">
        <v>1179</v>
      </c>
      <c r="D735" t="s">
        <v>1180</v>
      </c>
      <c r="E735">
        <v>0</v>
      </c>
    </row>
    <row r="736" spans="2:5" x14ac:dyDescent="0.25">
      <c r="B736" t="s">
        <v>64</v>
      </c>
      <c r="C736" t="s">
        <v>1181</v>
      </c>
      <c r="D736" t="s">
        <v>1182</v>
      </c>
      <c r="E736">
        <v>0</v>
      </c>
    </row>
    <row r="737" spans="2:5" x14ac:dyDescent="0.25">
      <c r="B737" t="s">
        <v>64</v>
      </c>
      <c r="C737" t="s">
        <v>1181</v>
      </c>
      <c r="D737" t="s">
        <v>1182</v>
      </c>
      <c r="E737">
        <v>0</v>
      </c>
    </row>
    <row r="738" spans="2:5" x14ac:dyDescent="0.25">
      <c r="B738" t="s">
        <v>195</v>
      </c>
      <c r="C738" t="s">
        <v>1183</v>
      </c>
      <c r="D738" t="s">
        <v>1184</v>
      </c>
      <c r="E738">
        <v>129</v>
      </c>
    </row>
    <row r="739" spans="2:5" x14ac:dyDescent="0.25">
      <c r="B739" t="s">
        <v>195</v>
      </c>
      <c r="C739" t="s">
        <v>1183</v>
      </c>
      <c r="D739" t="s">
        <v>1184</v>
      </c>
      <c r="E739">
        <v>0</v>
      </c>
    </row>
    <row r="740" spans="2:5" x14ac:dyDescent="0.25">
      <c r="B740" t="s">
        <v>195</v>
      </c>
      <c r="C740" t="s">
        <v>1185</v>
      </c>
      <c r="D740" t="s">
        <v>1186</v>
      </c>
      <c r="E740">
        <v>0</v>
      </c>
    </row>
    <row r="741" spans="2:5" x14ac:dyDescent="0.25">
      <c r="B741" t="s">
        <v>195</v>
      </c>
      <c r="C741" t="s">
        <v>1185</v>
      </c>
      <c r="D741" t="s">
        <v>1186</v>
      </c>
      <c r="E741">
        <v>0</v>
      </c>
    </row>
    <row r="742" spans="2:5" x14ac:dyDescent="0.25">
      <c r="B742" t="s">
        <v>117</v>
      </c>
      <c r="C742" t="s">
        <v>1187</v>
      </c>
      <c r="D742" t="s">
        <v>1188</v>
      </c>
      <c r="E742">
        <v>0</v>
      </c>
    </row>
    <row r="743" spans="2:5" x14ac:dyDescent="0.25">
      <c r="B743" t="s">
        <v>117</v>
      </c>
      <c r="C743" t="s">
        <v>1187</v>
      </c>
      <c r="D743" t="s">
        <v>1188</v>
      </c>
      <c r="E743">
        <v>0</v>
      </c>
    </row>
    <row r="744" spans="2:5" x14ac:dyDescent="0.25">
      <c r="B744" t="s">
        <v>117</v>
      </c>
      <c r="C744" t="s">
        <v>1189</v>
      </c>
      <c r="D744" t="s">
        <v>1190</v>
      </c>
      <c r="E744">
        <v>0</v>
      </c>
    </row>
    <row r="745" spans="2:5" x14ac:dyDescent="0.25">
      <c r="B745" t="s">
        <v>1191</v>
      </c>
      <c r="C745" t="s">
        <v>1192</v>
      </c>
      <c r="D745" t="s">
        <v>1193</v>
      </c>
      <c r="E745">
        <v>0</v>
      </c>
    </row>
    <row r="746" spans="2:5" x14ac:dyDescent="0.25">
      <c r="B746" t="s">
        <v>860</v>
      </c>
      <c r="C746" t="s">
        <v>861</v>
      </c>
      <c r="D746" t="s">
        <v>862</v>
      </c>
      <c r="E746">
        <v>0</v>
      </c>
    </row>
    <row r="747" spans="2:5" x14ac:dyDescent="0.25">
      <c r="B747" t="s">
        <v>352</v>
      </c>
      <c r="C747" t="s">
        <v>1194</v>
      </c>
      <c r="D747" t="s">
        <v>1195</v>
      </c>
      <c r="E747">
        <v>0</v>
      </c>
    </row>
    <row r="748" spans="2:5" x14ac:dyDescent="0.25">
      <c r="B748" t="s">
        <v>623</v>
      </c>
      <c r="C748" t="s">
        <v>925</v>
      </c>
      <c r="D748" t="s">
        <v>926</v>
      </c>
      <c r="E748">
        <v>40</v>
      </c>
    </row>
    <row r="749" spans="2:5" x14ac:dyDescent="0.25">
      <c r="B749" t="s">
        <v>623</v>
      </c>
      <c r="C749" t="s">
        <v>925</v>
      </c>
      <c r="D749" t="s">
        <v>926</v>
      </c>
      <c r="E749">
        <v>0</v>
      </c>
    </row>
    <row r="750" spans="2:5" x14ac:dyDescent="0.25">
      <c r="B750" t="s">
        <v>623</v>
      </c>
      <c r="C750" t="s">
        <v>925</v>
      </c>
      <c r="D750" t="s">
        <v>926</v>
      </c>
      <c r="E750">
        <v>0</v>
      </c>
    </row>
    <row r="751" spans="2:5" x14ac:dyDescent="0.25">
      <c r="B751" t="s">
        <v>52</v>
      </c>
      <c r="C751" t="s">
        <v>1196</v>
      </c>
      <c r="D751" t="s">
        <v>1197</v>
      </c>
      <c r="E751">
        <v>20</v>
      </c>
    </row>
    <row r="752" spans="2:5" x14ac:dyDescent="0.25">
      <c r="B752" t="s">
        <v>52</v>
      </c>
      <c r="C752" t="s">
        <v>1198</v>
      </c>
      <c r="D752" t="s">
        <v>1199</v>
      </c>
      <c r="E752">
        <v>0</v>
      </c>
    </row>
    <row r="753" spans="2:5" x14ac:dyDescent="0.25">
      <c r="B753" t="s">
        <v>52</v>
      </c>
      <c r="C753" t="s">
        <v>1198</v>
      </c>
      <c r="D753" t="s">
        <v>1199</v>
      </c>
      <c r="E753">
        <v>0</v>
      </c>
    </row>
    <row r="754" spans="2:5" x14ac:dyDescent="0.25">
      <c r="B754" t="s">
        <v>52</v>
      </c>
      <c r="C754" t="s">
        <v>1200</v>
      </c>
      <c r="D754" t="s">
        <v>1201</v>
      </c>
      <c r="E754">
        <v>2050</v>
      </c>
    </row>
    <row r="755" spans="2:5" x14ac:dyDescent="0.25">
      <c r="B755" t="s">
        <v>52</v>
      </c>
      <c r="C755" t="s">
        <v>1200</v>
      </c>
      <c r="D755" t="s">
        <v>1201</v>
      </c>
      <c r="E755">
        <v>0</v>
      </c>
    </row>
    <row r="756" spans="2:5" x14ac:dyDescent="0.25">
      <c r="B756" t="s">
        <v>52</v>
      </c>
      <c r="C756" t="s">
        <v>873</v>
      </c>
      <c r="D756" t="s">
        <v>874</v>
      </c>
      <c r="E756">
        <v>0</v>
      </c>
    </row>
    <row r="757" spans="2:5" x14ac:dyDescent="0.25">
      <c r="B757" t="s">
        <v>518</v>
      </c>
      <c r="C757" t="s">
        <v>1202</v>
      </c>
      <c r="D757" t="s">
        <v>1203</v>
      </c>
      <c r="E757">
        <v>1840</v>
      </c>
    </row>
    <row r="758" spans="2:5" x14ac:dyDescent="0.25">
      <c r="B758" t="s">
        <v>518</v>
      </c>
      <c r="C758" t="s">
        <v>1202</v>
      </c>
      <c r="D758" t="s">
        <v>1203</v>
      </c>
      <c r="E758">
        <v>0</v>
      </c>
    </row>
    <row r="759" spans="2:5" x14ac:dyDescent="0.25">
      <c r="B759" t="s">
        <v>521</v>
      </c>
      <c r="C759" t="s">
        <v>1204</v>
      </c>
      <c r="D759" t="s">
        <v>1205</v>
      </c>
      <c r="E759">
        <v>0</v>
      </c>
    </row>
    <row r="760" spans="2:5" x14ac:dyDescent="0.25">
      <c r="B760" t="s">
        <v>521</v>
      </c>
      <c r="C760" t="s">
        <v>1206</v>
      </c>
      <c r="D760" t="s">
        <v>1207</v>
      </c>
      <c r="E760">
        <v>391</v>
      </c>
    </row>
    <row r="761" spans="2:5" x14ac:dyDescent="0.25">
      <c r="B761" t="s">
        <v>521</v>
      </c>
      <c r="C761" t="s">
        <v>1206</v>
      </c>
      <c r="D761" t="s">
        <v>1207</v>
      </c>
      <c r="E761">
        <v>0</v>
      </c>
    </row>
    <row r="762" spans="2:5" x14ac:dyDescent="0.25">
      <c r="B762" t="s">
        <v>164</v>
      </c>
      <c r="C762" t="s">
        <v>400</v>
      </c>
      <c r="D762" t="s">
        <v>401</v>
      </c>
      <c r="E762">
        <v>0</v>
      </c>
    </row>
    <row r="763" spans="2:5" x14ac:dyDescent="0.25">
      <c r="B763" t="s">
        <v>164</v>
      </c>
      <c r="C763" t="s">
        <v>400</v>
      </c>
      <c r="D763" t="s">
        <v>401</v>
      </c>
      <c r="E763">
        <v>0</v>
      </c>
    </row>
    <row r="764" spans="2:5" x14ac:dyDescent="0.25">
      <c r="B764" t="s">
        <v>164</v>
      </c>
      <c r="C764" t="s">
        <v>402</v>
      </c>
      <c r="D764" t="s">
        <v>403</v>
      </c>
      <c r="E764">
        <v>134</v>
      </c>
    </row>
    <row r="765" spans="2:5" x14ac:dyDescent="0.25">
      <c r="B765" t="s">
        <v>164</v>
      </c>
      <c r="C765" t="s">
        <v>402</v>
      </c>
      <c r="D765" t="s">
        <v>403</v>
      </c>
      <c r="E765">
        <v>0</v>
      </c>
    </row>
    <row r="766" spans="2:5" x14ac:dyDescent="0.25">
      <c r="B766" t="s">
        <v>164</v>
      </c>
      <c r="C766" t="s">
        <v>443</v>
      </c>
      <c r="D766" t="s">
        <v>444</v>
      </c>
      <c r="E766">
        <v>55</v>
      </c>
    </row>
    <row r="767" spans="2:5" x14ac:dyDescent="0.25">
      <c r="B767" t="s">
        <v>161</v>
      </c>
      <c r="C767" t="s">
        <v>298</v>
      </c>
      <c r="D767" t="s">
        <v>299</v>
      </c>
      <c r="E767">
        <v>0</v>
      </c>
    </row>
    <row r="768" spans="2:5" x14ac:dyDescent="0.25">
      <c r="B768" t="s">
        <v>55</v>
      </c>
      <c r="C768" t="s">
        <v>852</v>
      </c>
      <c r="D768" t="s">
        <v>853</v>
      </c>
      <c r="E768">
        <v>0</v>
      </c>
    </row>
    <row r="769" spans="2:5" x14ac:dyDescent="0.25">
      <c r="B769" t="s">
        <v>687</v>
      </c>
      <c r="C769" t="s">
        <v>688</v>
      </c>
      <c r="D769" t="s">
        <v>689</v>
      </c>
      <c r="E769">
        <v>0</v>
      </c>
    </row>
    <row r="770" spans="2:5" x14ac:dyDescent="0.25">
      <c r="B770" t="s">
        <v>125</v>
      </c>
      <c r="C770" t="s">
        <v>1069</v>
      </c>
      <c r="D770" t="s">
        <v>1070</v>
      </c>
      <c r="E770">
        <v>0</v>
      </c>
    </row>
    <row r="771" spans="2:5" x14ac:dyDescent="0.25">
      <c r="B771" t="s">
        <v>1071</v>
      </c>
      <c r="C771" t="s">
        <v>1072</v>
      </c>
      <c r="D771" t="s">
        <v>1073</v>
      </c>
      <c r="E771">
        <v>0</v>
      </c>
    </row>
    <row r="772" spans="2:5" x14ac:dyDescent="0.25">
      <c r="B772" t="s">
        <v>1071</v>
      </c>
      <c r="C772" t="s">
        <v>1072</v>
      </c>
      <c r="D772" t="s">
        <v>1073</v>
      </c>
      <c r="E772">
        <v>0</v>
      </c>
    </row>
    <row r="773" spans="2:5" x14ac:dyDescent="0.25">
      <c r="B773" t="s">
        <v>250</v>
      </c>
      <c r="C773" t="s">
        <v>1074</v>
      </c>
      <c r="D773" t="s">
        <v>1075</v>
      </c>
      <c r="E773">
        <v>0</v>
      </c>
    </row>
    <row r="774" spans="2:5" x14ac:dyDescent="0.25">
      <c r="B774" t="s">
        <v>8</v>
      </c>
      <c r="C774" t="s">
        <v>1076</v>
      </c>
      <c r="D774" t="s">
        <v>1077</v>
      </c>
      <c r="E774">
        <v>0</v>
      </c>
    </row>
    <row r="775" spans="2:5" x14ac:dyDescent="0.25">
      <c r="B775" t="s">
        <v>8</v>
      </c>
      <c r="C775" t="s">
        <v>1078</v>
      </c>
      <c r="D775" t="s">
        <v>1079</v>
      </c>
      <c r="E775">
        <v>0</v>
      </c>
    </row>
    <row r="776" spans="2:5" x14ac:dyDescent="0.25">
      <c r="B776" t="s">
        <v>8</v>
      </c>
      <c r="C776" t="s">
        <v>1078</v>
      </c>
      <c r="D776" t="s">
        <v>1079</v>
      </c>
      <c r="E776">
        <v>0</v>
      </c>
    </row>
    <row r="777" spans="2:5" x14ac:dyDescent="0.25">
      <c r="B777" t="s">
        <v>8</v>
      </c>
      <c r="C777" t="s">
        <v>1080</v>
      </c>
      <c r="D777" t="s">
        <v>1081</v>
      </c>
      <c r="E777">
        <v>0</v>
      </c>
    </row>
    <row r="778" spans="2:5" x14ac:dyDescent="0.25">
      <c r="B778" t="s">
        <v>31</v>
      </c>
      <c r="C778" t="s">
        <v>1082</v>
      </c>
      <c r="D778" t="s">
        <v>1083</v>
      </c>
      <c r="E778">
        <v>0</v>
      </c>
    </row>
    <row r="779" spans="2:5" x14ac:dyDescent="0.25">
      <c r="B779" t="s">
        <v>25</v>
      </c>
      <c r="C779" t="s">
        <v>621</v>
      </c>
      <c r="D779" t="s">
        <v>622</v>
      </c>
      <c r="E779">
        <v>0</v>
      </c>
    </row>
    <row r="780" spans="2:5" x14ac:dyDescent="0.25">
      <c r="B780" t="s">
        <v>25</v>
      </c>
      <c r="C780" t="s">
        <v>1084</v>
      </c>
      <c r="D780" t="s">
        <v>1085</v>
      </c>
      <c r="E780">
        <v>0</v>
      </c>
    </row>
    <row r="781" spans="2:5" x14ac:dyDescent="0.25">
      <c r="B781" t="s">
        <v>25</v>
      </c>
      <c r="C781" t="s">
        <v>1084</v>
      </c>
      <c r="D781" t="s">
        <v>1085</v>
      </c>
      <c r="E781">
        <v>0</v>
      </c>
    </row>
    <row r="782" spans="2:5" x14ac:dyDescent="0.25">
      <c r="B782" t="s">
        <v>34</v>
      </c>
      <c r="C782" t="s">
        <v>1086</v>
      </c>
      <c r="D782" t="s">
        <v>1087</v>
      </c>
      <c r="E782">
        <v>1674</v>
      </c>
    </row>
    <row r="783" spans="2:5" x14ac:dyDescent="0.25">
      <c r="B783" t="s">
        <v>217</v>
      </c>
      <c r="C783" t="s">
        <v>1088</v>
      </c>
      <c r="D783" t="s">
        <v>1089</v>
      </c>
      <c r="E783">
        <v>0</v>
      </c>
    </row>
    <row r="784" spans="2:5" x14ac:dyDescent="0.25">
      <c r="B784" t="s">
        <v>20</v>
      </c>
      <c r="C784" t="s">
        <v>1119</v>
      </c>
      <c r="D784" t="s">
        <v>1120</v>
      </c>
      <c r="E784">
        <v>33360</v>
      </c>
    </row>
    <row r="785" spans="2:5" x14ac:dyDescent="0.25">
      <c r="B785" t="s">
        <v>438</v>
      </c>
      <c r="C785" t="s">
        <v>743</v>
      </c>
      <c r="D785" t="s">
        <v>744</v>
      </c>
      <c r="E785">
        <v>0</v>
      </c>
    </row>
    <row r="786" spans="2:5" x14ac:dyDescent="0.25">
      <c r="B786" t="s">
        <v>161</v>
      </c>
      <c r="C786" t="s">
        <v>1121</v>
      </c>
      <c r="D786" t="s">
        <v>1122</v>
      </c>
      <c r="E786">
        <v>30</v>
      </c>
    </row>
    <row r="787" spans="2:5" x14ac:dyDescent="0.25">
      <c r="B787" t="s">
        <v>145</v>
      </c>
      <c r="C787" t="s">
        <v>1123</v>
      </c>
      <c r="D787" t="s">
        <v>1124</v>
      </c>
      <c r="E787">
        <v>0</v>
      </c>
    </row>
    <row r="788" spans="2:5" x14ac:dyDescent="0.25">
      <c r="B788" t="s">
        <v>237</v>
      </c>
      <c r="C788" t="s">
        <v>1125</v>
      </c>
      <c r="D788" t="s">
        <v>1126</v>
      </c>
      <c r="E788">
        <v>0</v>
      </c>
    </row>
    <row r="789" spans="2:5" x14ac:dyDescent="0.25">
      <c r="B789" t="s">
        <v>352</v>
      </c>
      <c r="C789" t="s">
        <v>1127</v>
      </c>
      <c r="D789" t="s">
        <v>1128</v>
      </c>
      <c r="E789">
        <v>0</v>
      </c>
    </row>
    <row r="790" spans="2:5" x14ac:dyDescent="0.25">
      <c r="B790" t="s">
        <v>1129</v>
      </c>
      <c r="C790" t="s">
        <v>1130</v>
      </c>
      <c r="D790" t="s">
        <v>1131</v>
      </c>
      <c r="E790">
        <v>0</v>
      </c>
    </row>
    <row r="791" spans="2:5" x14ac:dyDescent="0.25">
      <c r="B791" t="s">
        <v>161</v>
      </c>
      <c r="C791" t="s">
        <v>1132</v>
      </c>
      <c r="D791" t="s">
        <v>1133</v>
      </c>
      <c r="E791">
        <v>0</v>
      </c>
    </row>
    <row r="792" spans="2:5" x14ac:dyDescent="0.25">
      <c r="B792" t="s">
        <v>705</v>
      </c>
      <c r="C792" t="s">
        <v>706</v>
      </c>
      <c r="D792" t="s">
        <v>707</v>
      </c>
      <c r="E792">
        <v>1720</v>
      </c>
    </row>
    <row r="793" spans="2:5" x14ac:dyDescent="0.25">
      <c r="B793" t="s">
        <v>705</v>
      </c>
      <c r="C793" t="s">
        <v>1117</v>
      </c>
      <c r="D793" t="s">
        <v>1118</v>
      </c>
      <c r="E793">
        <v>105</v>
      </c>
    </row>
    <row r="794" spans="2:5" x14ac:dyDescent="0.25">
      <c r="B794" t="s">
        <v>8</v>
      </c>
      <c r="C794" t="s">
        <v>1134</v>
      </c>
      <c r="D794" t="s">
        <v>1135</v>
      </c>
      <c r="E794">
        <v>0</v>
      </c>
    </row>
    <row r="795" spans="2:5" x14ac:dyDescent="0.25">
      <c r="B795" t="s">
        <v>145</v>
      </c>
      <c r="C795" t="s">
        <v>1136</v>
      </c>
      <c r="D795" t="s">
        <v>1137</v>
      </c>
      <c r="E795">
        <v>0</v>
      </c>
    </row>
    <row r="796" spans="2:5" x14ac:dyDescent="0.25">
      <c r="B796" t="s">
        <v>161</v>
      </c>
      <c r="C796" t="s">
        <v>1121</v>
      </c>
      <c r="D796" t="s">
        <v>1122</v>
      </c>
      <c r="E796">
        <v>0</v>
      </c>
    </row>
    <row r="797" spans="2:5" x14ac:dyDescent="0.25">
      <c r="B797" t="s">
        <v>164</v>
      </c>
      <c r="C797" t="s">
        <v>1094</v>
      </c>
      <c r="D797" t="s">
        <v>1095</v>
      </c>
      <c r="E797">
        <v>0</v>
      </c>
    </row>
    <row r="798" spans="2:5" x14ac:dyDescent="0.25">
      <c r="B798" t="s">
        <v>438</v>
      </c>
      <c r="C798" t="s">
        <v>741</v>
      </c>
      <c r="D798" t="s">
        <v>742</v>
      </c>
      <c r="E798">
        <v>0</v>
      </c>
    </row>
    <row r="799" spans="2:5" x14ac:dyDescent="0.25">
      <c r="B799" t="s">
        <v>145</v>
      </c>
      <c r="C799" t="s">
        <v>1138</v>
      </c>
      <c r="D799" t="s">
        <v>1139</v>
      </c>
      <c r="E799">
        <v>0</v>
      </c>
    </row>
    <row r="800" spans="2:5" x14ac:dyDescent="0.25">
      <c r="B800" t="s">
        <v>380</v>
      </c>
      <c r="C800" t="s">
        <v>1140</v>
      </c>
      <c r="D800" t="s">
        <v>1141</v>
      </c>
      <c r="E800">
        <v>0</v>
      </c>
    </row>
    <row r="801" spans="2:5" x14ac:dyDescent="0.25">
      <c r="B801" t="s">
        <v>83</v>
      </c>
      <c r="C801" t="s">
        <v>1142</v>
      </c>
      <c r="D801" t="s">
        <v>1143</v>
      </c>
      <c r="E801">
        <v>4860</v>
      </c>
    </row>
    <row r="802" spans="2:5" x14ac:dyDescent="0.25">
      <c r="B802" t="s">
        <v>1144</v>
      </c>
      <c r="C802" t="s">
        <v>1145</v>
      </c>
      <c r="D802" t="s">
        <v>1146</v>
      </c>
      <c r="E802">
        <v>0</v>
      </c>
    </row>
    <row r="803" spans="2:5" x14ac:dyDescent="0.25">
      <c r="B803" t="s">
        <v>1147</v>
      </c>
      <c r="C803" t="s">
        <v>1148</v>
      </c>
      <c r="D803" t="s">
        <v>1149</v>
      </c>
      <c r="E803">
        <v>0</v>
      </c>
    </row>
    <row r="804" spans="2:5" x14ac:dyDescent="0.25">
      <c r="B804" t="s">
        <v>131</v>
      </c>
      <c r="C804" t="s">
        <v>634</v>
      </c>
      <c r="D804" t="s">
        <v>635</v>
      </c>
      <c r="E804">
        <v>40</v>
      </c>
    </row>
    <row r="805" spans="2:5" x14ac:dyDescent="0.25">
      <c r="B805" t="s">
        <v>131</v>
      </c>
      <c r="C805" t="s">
        <v>632</v>
      </c>
      <c r="D805" t="s">
        <v>633</v>
      </c>
      <c r="E805">
        <v>200</v>
      </c>
    </row>
    <row r="806" spans="2:5" x14ac:dyDescent="0.25">
      <c r="B806" t="s">
        <v>58</v>
      </c>
      <c r="C806" t="s">
        <v>1150</v>
      </c>
      <c r="D806" t="s">
        <v>1151</v>
      </c>
      <c r="E806">
        <v>0</v>
      </c>
    </row>
    <row r="807" spans="2:5" x14ac:dyDescent="0.25">
      <c r="B807" t="s">
        <v>222</v>
      </c>
      <c r="C807" t="s">
        <v>1152</v>
      </c>
      <c r="D807" t="s">
        <v>1153</v>
      </c>
      <c r="E807">
        <v>0</v>
      </c>
    </row>
    <row r="808" spans="2:5" x14ac:dyDescent="0.25">
      <c r="B808" t="s">
        <v>222</v>
      </c>
      <c r="C808" t="s">
        <v>1152</v>
      </c>
      <c r="D808" t="s">
        <v>1153</v>
      </c>
      <c r="E808">
        <v>0</v>
      </c>
    </row>
    <row r="809" spans="2:5" x14ac:dyDescent="0.25">
      <c r="B809" t="s">
        <v>145</v>
      </c>
      <c r="C809" t="s">
        <v>1138</v>
      </c>
      <c r="D809" t="s">
        <v>1139</v>
      </c>
      <c r="E809">
        <v>0</v>
      </c>
    </row>
    <row r="810" spans="2:5" x14ac:dyDescent="0.25">
      <c r="B810" t="s">
        <v>1154</v>
      </c>
      <c r="C810" t="s">
        <v>1155</v>
      </c>
      <c r="D810" t="s">
        <v>1156</v>
      </c>
      <c r="E810">
        <v>0</v>
      </c>
    </row>
    <row r="811" spans="2:5" x14ac:dyDescent="0.25">
      <c r="B811" t="s">
        <v>145</v>
      </c>
      <c r="C811" t="s">
        <v>1157</v>
      </c>
      <c r="D811" t="s">
        <v>1158</v>
      </c>
      <c r="E811">
        <v>1140</v>
      </c>
    </row>
    <row r="812" spans="2:5" x14ac:dyDescent="0.25">
      <c r="B812" t="s">
        <v>145</v>
      </c>
      <c r="C812" t="s">
        <v>1159</v>
      </c>
      <c r="D812" t="s">
        <v>1160</v>
      </c>
      <c r="E812">
        <v>0</v>
      </c>
    </row>
    <row r="813" spans="2:5" x14ac:dyDescent="0.25">
      <c r="B813" t="s">
        <v>61</v>
      </c>
      <c r="C813" t="s">
        <v>1161</v>
      </c>
      <c r="D813" t="s">
        <v>1162</v>
      </c>
      <c r="E813">
        <v>20</v>
      </c>
    </row>
    <row r="814" spans="2:5" x14ac:dyDescent="0.25">
      <c r="B814" t="s">
        <v>217</v>
      </c>
      <c r="C814" t="s">
        <v>1163</v>
      </c>
      <c r="D814" t="s">
        <v>1164</v>
      </c>
      <c r="E814">
        <v>0</v>
      </c>
    </row>
    <row r="815" spans="2:5" x14ac:dyDescent="0.25">
      <c r="B815" t="s">
        <v>217</v>
      </c>
      <c r="C815" t="s">
        <v>1163</v>
      </c>
      <c r="D815" t="s">
        <v>1164</v>
      </c>
      <c r="E815">
        <v>0</v>
      </c>
    </row>
    <row r="816" spans="2:5" x14ac:dyDescent="0.25">
      <c r="B816" t="s">
        <v>64</v>
      </c>
      <c r="C816" t="s">
        <v>1053</v>
      </c>
      <c r="D816" t="s">
        <v>1054</v>
      </c>
      <c r="E816">
        <v>2166</v>
      </c>
    </row>
    <row r="817" spans="2:5" x14ac:dyDescent="0.25">
      <c r="B817" t="s">
        <v>64</v>
      </c>
      <c r="C817" t="s">
        <v>1165</v>
      </c>
      <c r="D817" t="s">
        <v>1166</v>
      </c>
      <c r="E817">
        <v>0</v>
      </c>
    </row>
    <row r="818" spans="2:5" x14ac:dyDescent="0.25">
      <c r="B818" t="s">
        <v>64</v>
      </c>
      <c r="C818" t="s">
        <v>1165</v>
      </c>
      <c r="D818" t="s">
        <v>1166</v>
      </c>
      <c r="E818">
        <v>0</v>
      </c>
    </row>
    <row r="819" spans="2:5" x14ac:dyDescent="0.25">
      <c r="B819" t="s">
        <v>195</v>
      </c>
      <c r="C819" t="s">
        <v>701</v>
      </c>
      <c r="D819" t="s">
        <v>702</v>
      </c>
      <c r="E819">
        <v>350</v>
      </c>
    </row>
    <row r="820" spans="2:5" x14ac:dyDescent="0.25">
      <c r="B820" t="s">
        <v>195</v>
      </c>
      <c r="C820" t="s">
        <v>1167</v>
      </c>
      <c r="D820" t="s">
        <v>1168</v>
      </c>
      <c r="E820">
        <v>19580</v>
      </c>
    </row>
    <row r="821" spans="2:5" x14ac:dyDescent="0.25">
      <c r="B821" t="s">
        <v>195</v>
      </c>
      <c r="C821" t="s">
        <v>1167</v>
      </c>
      <c r="D821" t="s">
        <v>1168</v>
      </c>
      <c r="E821">
        <v>0</v>
      </c>
    </row>
    <row r="822" spans="2:5" x14ac:dyDescent="0.25">
      <c r="B822" t="s">
        <v>195</v>
      </c>
      <c r="C822" t="s">
        <v>1167</v>
      </c>
      <c r="D822" t="s">
        <v>1168</v>
      </c>
      <c r="E822">
        <v>0</v>
      </c>
    </row>
    <row r="823" spans="2:5" x14ac:dyDescent="0.25">
      <c r="B823" t="s">
        <v>195</v>
      </c>
      <c r="C823" t="s">
        <v>749</v>
      </c>
      <c r="D823" t="s">
        <v>750</v>
      </c>
      <c r="E823">
        <v>0</v>
      </c>
    </row>
    <row r="824" spans="2:5" x14ac:dyDescent="0.25">
      <c r="B824" t="s">
        <v>67</v>
      </c>
      <c r="C824" t="s">
        <v>1362</v>
      </c>
      <c r="D824" t="s">
        <v>1363</v>
      </c>
      <c r="E824">
        <v>820</v>
      </c>
    </row>
    <row r="825" spans="2:5" x14ac:dyDescent="0.25">
      <c r="B825" t="s">
        <v>67</v>
      </c>
      <c r="C825" t="s">
        <v>1362</v>
      </c>
      <c r="D825" t="s">
        <v>1363</v>
      </c>
      <c r="E825">
        <v>0</v>
      </c>
    </row>
    <row r="826" spans="2:5" x14ac:dyDescent="0.25">
      <c r="B826" t="s">
        <v>117</v>
      </c>
      <c r="C826" t="s">
        <v>1364</v>
      </c>
      <c r="D826" t="s">
        <v>1365</v>
      </c>
      <c r="E826">
        <v>0</v>
      </c>
    </row>
    <row r="827" spans="2:5" x14ac:dyDescent="0.25">
      <c r="B827" t="s">
        <v>117</v>
      </c>
      <c r="C827" t="s">
        <v>1366</v>
      </c>
      <c r="D827" t="s">
        <v>1367</v>
      </c>
      <c r="E827">
        <v>0</v>
      </c>
    </row>
    <row r="828" spans="2:5" x14ac:dyDescent="0.25">
      <c r="B828" t="s">
        <v>797</v>
      </c>
      <c r="C828" t="s">
        <v>1057</v>
      </c>
      <c r="D828" t="s">
        <v>1058</v>
      </c>
      <c r="E828">
        <v>0</v>
      </c>
    </row>
    <row r="829" spans="2:5" x14ac:dyDescent="0.25">
      <c r="B829" t="s">
        <v>797</v>
      </c>
      <c r="C829" t="s">
        <v>1057</v>
      </c>
      <c r="D829" t="s">
        <v>1058</v>
      </c>
      <c r="E829">
        <v>0</v>
      </c>
    </row>
    <row r="830" spans="2:5" x14ac:dyDescent="0.25">
      <c r="B830" t="s">
        <v>70</v>
      </c>
      <c r="C830" t="s">
        <v>1368</v>
      </c>
      <c r="D830" t="s">
        <v>1369</v>
      </c>
      <c r="E830">
        <v>0</v>
      </c>
    </row>
    <row r="831" spans="2:5" x14ac:dyDescent="0.25">
      <c r="B831" t="s">
        <v>195</v>
      </c>
      <c r="C831" t="s">
        <v>1370</v>
      </c>
      <c r="D831" t="s">
        <v>1371</v>
      </c>
      <c r="E831">
        <v>0</v>
      </c>
    </row>
    <row r="832" spans="2:5" x14ac:dyDescent="0.25">
      <c r="B832" t="s">
        <v>131</v>
      </c>
      <c r="C832" t="s">
        <v>1372</v>
      </c>
      <c r="D832" t="s">
        <v>1373</v>
      </c>
      <c r="E832">
        <v>0</v>
      </c>
    </row>
    <row r="833" spans="2:5" x14ac:dyDescent="0.25">
      <c r="B833" t="s">
        <v>186</v>
      </c>
      <c r="C833" t="s">
        <v>1374</v>
      </c>
      <c r="D833" t="s">
        <v>1375</v>
      </c>
      <c r="E833">
        <v>0</v>
      </c>
    </row>
    <row r="834" spans="2:5" x14ac:dyDescent="0.25">
      <c r="B834" t="s">
        <v>17</v>
      </c>
      <c r="C834" t="s">
        <v>607</v>
      </c>
      <c r="D834" t="s">
        <v>608</v>
      </c>
      <c r="E834">
        <v>0</v>
      </c>
    </row>
    <row r="835" spans="2:5" x14ac:dyDescent="0.25">
      <c r="B835" t="s">
        <v>73</v>
      </c>
      <c r="C835" t="s">
        <v>1376</v>
      </c>
      <c r="D835" t="s">
        <v>1377</v>
      </c>
      <c r="E835">
        <v>0</v>
      </c>
    </row>
    <row r="836" spans="2:5" x14ac:dyDescent="0.25">
      <c r="B836" t="s">
        <v>73</v>
      </c>
      <c r="C836" t="s">
        <v>1376</v>
      </c>
      <c r="D836" t="s">
        <v>1377</v>
      </c>
      <c r="E836">
        <v>0</v>
      </c>
    </row>
    <row r="837" spans="2:5" x14ac:dyDescent="0.25">
      <c r="B837" t="s">
        <v>352</v>
      </c>
      <c r="C837" t="s">
        <v>1378</v>
      </c>
      <c r="D837" t="s">
        <v>1379</v>
      </c>
      <c r="E837">
        <v>0</v>
      </c>
    </row>
    <row r="838" spans="2:5" x14ac:dyDescent="0.25">
      <c r="B838" t="s">
        <v>352</v>
      </c>
      <c r="C838" t="s">
        <v>1378</v>
      </c>
      <c r="D838" t="s">
        <v>1379</v>
      </c>
      <c r="E838">
        <v>0</v>
      </c>
    </row>
    <row r="839" spans="2:5" x14ac:dyDescent="0.25">
      <c r="B839" t="s">
        <v>352</v>
      </c>
      <c r="C839" t="s">
        <v>1065</v>
      </c>
      <c r="D839" t="s">
        <v>1066</v>
      </c>
      <c r="E839">
        <v>0</v>
      </c>
    </row>
    <row r="840" spans="2:5" x14ac:dyDescent="0.25">
      <c r="B840" t="s">
        <v>352</v>
      </c>
      <c r="C840" t="s">
        <v>1065</v>
      </c>
      <c r="D840" t="s">
        <v>1066</v>
      </c>
      <c r="E840">
        <v>0</v>
      </c>
    </row>
    <row r="841" spans="2:5" x14ac:dyDescent="0.25">
      <c r="B841" t="s">
        <v>352</v>
      </c>
      <c r="C841" t="s">
        <v>1380</v>
      </c>
      <c r="D841" t="s">
        <v>1381</v>
      </c>
      <c r="E841">
        <v>3580</v>
      </c>
    </row>
    <row r="842" spans="2:5" x14ac:dyDescent="0.25">
      <c r="B842" t="s">
        <v>352</v>
      </c>
      <c r="C842" t="s">
        <v>1380</v>
      </c>
      <c r="D842" t="s">
        <v>1381</v>
      </c>
      <c r="E842">
        <v>0</v>
      </c>
    </row>
    <row r="843" spans="2:5" x14ac:dyDescent="0.25">
      <c r="B843" t="s">
        <v>352</v>
      </c>
      <c r="C843" t="s">
        <v>1067</v>
      </c>
      <c r="D843" t="s">
        <v>1068</v>
      </c>
      <c r="E843">
        <v>2</v>
      </c>
    </row>
    <row r="844" spans="2:5" x14ac:dyDescent="0.25">
      <c r="B844" t="s">
        <v>14</v>
      </c>
      <c r="C844" t="s">
        <v>1382</v>
      </c>
      <c r="D844" t="s">
        <v>1383</v>
      </c>
      <c r="E844">
        <v>0</v>
      </c>
    </row>
    <row r="845" spans="2:5" x14ac:dyDescent="0.25">
      <c r="B845" t="s">
        <v>31</v>
      </c>
      <c r="C845" t="s">
        <v>1384</v>
      </c>
      <c r="D845" t="s">
        <v>1385</v>
      </c>
      <c r="E845">
        <v>0</v>
      </c>
    </row>
    <row r="846" spans="2:5" x14ac:dyDescent="0.25">
      <c r="B846" t="s">
        <v>31</v>
      </c>
      <c r="C846" t="s">
        <v>1386</v>
      </c>
      <c r="D846" t="s">
        <v>1387</v>
      </c>
      <c r="E846">
        <v>0</v>
      </c>
    </row>
    <row r="847" spans="2:5" x14ac:dyDescent="0.25">
      <c r="B847" t="s">
        <v>11</v>
      </c>
      <c r="C847" t="s">
        <v>1388</v>
      </c>
      <c r="D847" t="s">
        <v>1389</v>
      </c>
      <c r="E847">
        <v>5000</v>
      </c>
    </row>
    <row r="848" spans="2:5" x14ac:dyDescent="0.25">
      <c r="B848" t="s">
        <v>11</v>
      </c>
      <c r="C848" t="s">
        <v>1388</v>
      </c>
      <c r="D848" t="s">
        <v>1389</v>
      </c>
      <c r="E848">
        <v>0</v>
      </c>
    </row>
    <row r="849" spans="2:5" x14ac:dyDescent="0.25">
      <c r="B849" t="s">
        <v>164</v>
      </c>
      <c r="C849" t="s">
        <v>1390</v>
      </c>
      <c r="D849" t="s">
        <v>1391</v>
      </c>
      <c r="E849">
        <v>0</v>
      </c>
    </row>
    <row r="850" spans="2:5" x14ac:dyDescent="0.25">
      <c r="B850" t="s">
        <v>52</v>
      </c>
      <c r="C850" t="s">
        <v>722</v>
      </c>
      <c r="D850" t="s">
        <v>723</v>
      </c>
      <c r="E850">
        <v>1860</v>
      </c>
    </row>
    <row r="851" spans="2:5" x14ac:dyDescent="0.25">
      <c r="B851" t="s">
        <v>52</v>
      </c>
      <c r="C851" t="s">
        <v>722</v>
      </c>
      <c r="D851" t="s">
        <v>723</v>
      </c>
      <c r="E851">
        <v>0</v>
      </c>
    </row>
    <row r="852" spans="2:5" x14ac:dyDescent="0.25">
      <c r="B852" t="s">
        <v>52</v>
      </c>
      <c r="C852" t="s">
        <v>722</v>
      </c>
      <c r="D852" t="s">
        <v>723</v>
      </c>
      <c r="E852">
        <v>0</v>
      </c>
    </row>
    <row r="853" spans="2:5" x14ac:dyDescent="0.25">
      <c r="B853" t="s">
        <v>52</v>
      </c>
      <c r="C853" t="s">
        <v>1392</v>
      </c>
      <c r="D853" t="s">
        <v>1393</v>
      </c>
      <c r="E853">
        <v>0</v>
      </c>
    </row>
    <row r="854" spans="2:5" x14ac:dyDescent="0.25">
      <c r="B854" t="s">
        <v>860</v>
      </c>
      <c r="C854" t="s">
        <v>1531</v>
      </c>
      <c r="D854" t="s">
        <v>1532</v>
      </c>
      <c r="E854">
        <v>0</v>
      </c>
    </row>
    <row r="855" spans="2:5" x14ac:dyDescent="0.25">
      <c r="B855" t="s">
        <v>623</v>
      </c>
      <c r="C855" t="s">
        <v>813</v>
      </c>
      <c r="D855" t="s">
        <v>814</v>
      </c>
      <c r="E855">
        <v>0</v>
      </c>
    </row>
    <row r="856" spans="2:5" x14ac:dyDescent="0.25">
      <c r="B856" t="s">
        <v>770</v>
      </c>
      <c r="C856" t="s">
        <v>1533</v>
      </c>
      <c r="D856" t="s">
        <v>1534</v>
      </c>
      <c r="E856">
        <v>0</v>
      </c>
    </row>
    <row r="857" spans="2:5" x14ac:dyDescent="0.25">
      <c r="B857" t="s">
        <v>83</v>
      </c>
      <c r="C857" t="s">
        <v>1535</v>
      </c>
      <c r="D857" t="s">
        <v>1536</v>
      </c>
      <c r="E857">
        <v>0</v>
      </c>
    </row>
    <row r="858" spans="2:5" x14ac:dyDescent="0.25">
      <c r="B858" t="s">
        <v>80</v>
      </c>
      <c r="C858" t="s">
        <v>240</v>
      </c>
      <c r="D858" t="s">
        <v>241</v>
      </c>
      <c r="E858">
        <v>0</v>
      </c>
    </row>
    <row r="859" spans="2:5" x14ac:dyDescent="0.25">
      <c r="B859" t="s">
        <v>1249</v>
      </c>
      <c r="C859" t="s">
        <v>1537</v>
      </c>
      <c r="D859" t="s">
        <v>1538</v>
      </c>
      <c r="E859">
        <v>0</v>
      </c>
    </row>
    <row r="860" spans="2:5" x14ac:dyDescent="0.25">
      <c r="B860" t="s">
        <v>1249</v>
      </c>
      <c r="C860" t="s">
        <v>1539</v>
      </c>
      <c r="D860" t="s">
        <v>1540</v>
      </c>
      <c r="E860">
        <v>0</v>
      </c>
    </row>
    <row r="861" spans="2:5" x14ac:dyDescent="0.25">
      <c r="B861" t="s">
        <v>209</v>
      </c>
      <c r="C861" t="s">
        <v>1541</v>
      </c>
      <c r="D861" t="s">
        <v>1542</v>
      </c>
      <c r="E861">
        <v>0</v>
      </c>
    </row>
    <row r="862" spans="2:5" x14ac:dyDescent="0.25">
      <c r="B862" t="s">
        <v>52</v>
      </c>
      <c r="C862" t="s">
        <v>1543</v>
      </c>
      <c r="D862" t="s">
        <v>1544</v>
      </c>
      <c r="E862">
        <v>0</v>
      </c>
    </row>
    <row r="863" spans="2:5" x14ac:dyDescent="0.25">
      <c r="B863" t="s">
        <v>52</v>
      </c>
      <c r="C863" t="s">
        <v>1545</v>
      </c>
      <c r="D863" t="s">
        <v>1546</v>
      </c>
      <c r="E863">
        <v>0</v>
      </c>
    </row>
    <row r="864" spans="2:5" x14ac:dyDescent="0.25">
      <c r="B864" t="s">
        <v>52</v>
      </c>
      <c r="C864" t="s">
        <v>1547</v>
      </c>
      <c r="D864" t="s">
        <v>1548</v>
      </c>
      <c r="E864">
        <v>0</v>
      </c>
    </row>
    <row r="865" spans="2:5" x14ac:dyDescent="0.25">
      <c r="B865" t="s">
        <v>203</v>
      </c>
      <c r="C865" t="s">
        <v>1549</v>
      </c>
      <c r="D865" t="s">
        <v>1550</v>
      </c>
      <c r="E865">
        <v>0</v>
      </c>
    </row>
    <row r="866" spans="2:5" x14ac:dyDescent="0.25">
      <c r="B866" t="s">
        <v>80</v>
      </c>
      <c r="C866" t="s">
        <v>240</v>
      </c>
      <c r="D866" t="s">
        <v>241</v>
      </c>
      <c r="E866">
        <v>0</v>
      </c>
    </row>
    <row r="867" spans="2:5" x14ac:dyDescent="0.25">
      <c r="B867" t="s">
        <v>109</v>
      </c>
      <c r="C867" t="s">
        <v>1551</v>
      </c>
      <c r="D867" t="s">
        <v>1552</v>
      </c>
      <c r="E867">
        <v>320</v>
      </c>
    </row>
    <row r="868" spans="2:5" x14ac:dyDescent="0.25">
      <c r="B868" t="s">
        <v>109</v>
      </c>
      <c r="C868" t="s">
        <v>1551</v>
      </c>
      <c r="D868" t="s">
        <v>1552</v>
      </c>
      <c r="E868">
        <v>0</v>
      </c>
    </row>
    <row r="869" spans="2:5" x14ac:dyDescent="0.25">
      <c r="B869" t="s">
        <v>269</v>
      </c>
      <c r="C869" t="s">
        <v>270</v>
      </c>
      <c r="D869" t="s">
        <v>271</v>
      </c>
      <c r="E869">
        <v>725</v>
      </c>
    </row>
    <row r="870" spans="2:5" x14ac:dyDescent="0.25">
      <c r="B870" t="s">
        <v>106</v>
      </c>
      <c r="C870" t="s">
        <v>107</v>
      </c>
      <c r="D870" t="s">
        <v>108</v>
      </c>
      <c r="E870">
        <v>0</v>
      </c>
    </row>
    <row r="871" spans="2:5" x14ac:dyDescent="0.25">
      <c r="B871" t="s">
        <v>1553</v>
      </c>
      <c r="C871" t="s">
        <v>1554</v>
      </c>
      <c r="D871" t="s">
        <v>1555</v>
      </c>
      <c r="E871">
        <v>0</v>
      </c>
    </row>
    <row r="872" spans="2:5" x14ac:dyDescent="0.25">
      <c r="B872" t="s">
        <v>195</v>
      </c>
      <c r="C872" t="s">
        <v>196</v>
      </c>
      <c r="D872" t="s">
        <v>197</v>
      </c>
      <c r="E872">
        <v>0</v>
      </c>
    </row>
    <row r="873" spans="2:5" x14ac:dyDescent="0.25">
      <c r="B873" t="s">
        <v>161</v>
      </c>
      <c r="C873" t="s">
        <v>827</v>
      </c>
      <c r="D873" t="s">
        <v>828</v>
      </c>
      <c r="E873">
        <v>0</v>
      </c>
    </row>
    <row r="874" spans="2:5" x14ac:dyDescent="0.25">
      <c r="B874" t="s">
        <v>272</v>
      </c>
      <c r="C874" t="s">
        <v>273</v>
      </c>
      <c r="D874" t="s">
        <v>274</v>
      </c>
      <c r="E874">
        <v>37</v>
      </c>
    </row>
    <row r="875" spans="2:5" x14ac:dyDescent="0.25">
      <c r="B875" t="s">
        <v>20</v>
      </c>
      <c r="C875" t="s">
        <v>259</v>
      </c>
      <c r="D875" t="s">
        <v>260</v>
      </c>
      <c r="E875">
        <v>0</v>
      </c>
    </row>
    <row r="876" spans="2:5" x14ac:dyDescent="0.25">
      <c r="B876" t="s">
        <v>20</v>
      </c>
      <c r="C876" t="s">
        <v>259</v>
      </c>
      <c r="D876" t="s">
        <v>260</v>
      </c>
      <c r="E876">
        <v>0</v>
      </c>
    </row>
    <row r="877" spans="2:5" x14ac:dyDescent="0.25">
      <c r="B877" t="s">
        <v>266</v>
      </c>
      <c r="C877" t="s">
        <v>267</v>
      </c>
      <c r="D877" t="s">
        <v>268</v>
      </c>
      <c r="E877">
        <v>1000</v>
      </c>
    </row>
    <row r="878" spans="2:5" x14ac:dyDescent="0.25">
      <c r="B878" t="s">
        <v>40</v>
      </c>
      <c r="C878" t="s">
        <v>41</v>
      </c>
      <c r="D878" t="s">
        <v>42</v>
      </c>
      <c r="E878">
        <v>0</v>
      </c>
    </row>
    <row r="879" spans="2:5" x14ac:dyDescent="0.25">
      <c r="B879" t="s">
        <v>20</v>
      </c>
      <c r="C879" t="s">
        <v>21</v>
      </c>
      <c r="D879" t="s">
        <v>22</v>
      </c>
      <c r="E879">
        <v>0</v>
      </c>
    </row>
    <row r="880" spans="2:5" x14ac:dyDescent="0.25">
      <c r="B880" t="s">
        <v>269</v>
      </c>
      <c r="C880" t="s">
        <v>270</v>
      </c>
      <c r="D880" t="s">
        <v>271</v>
      </c>
      <c r="E880">
        <v>0</v>
      </c>
    </row>
    <row r="881" spans="2:5" x14ac:dyDescent="0.25">
      <c r="B881" t="s">
        <v>217</v>
      </c>
      <c r="C881" t="s">
        <v>218</v>
      </c>
      <c r="D881" t="s">
        <v>219</v>
      </c>
      <c r="E881">
        <v>0</v>
      </c>
    </row>
    <row r="882" spans="2:5" x14ac:dyDescent="0.25">
      <c r="B882" t="s">
        <v>120</v>
      </c>
      <c r="C882" t="s">
        <v>180</v>
      </c>
      <c r="D882" t="s">
        <v>181</v>
      </c>
      <c r="E882">
        <v>80</v>
      </c>
    </row>
    <row r="883" spans="2:5" x14ac:dyDescent="0.25">
      <c r="B883" t="s">
        <v>272</v>
      </c>
      <c r="C883" t="s">
        <v>273</v>
      </c>
      <c r="D883" t="s">
        <v>274</v>
      </c>
      <c r="E883">
        <v>0</v>
      </c>
    </row>
    <row r="884" spans="2:5" x14ac:dyDescent="0.25">
      <c r="B884" t="s">
        <v>20</v>
      </c>
      <c r="C884" t="s">
        <v>173</v>
      </c>
      <c r="D884" t="s">
        <v>174</v>
      </c>
      <c r="E884">
        <v>0</v>
      </c>
    </row>
    <row r="885" spans="2:5" x14ac:dyDescent="0.25">
      <c r="B885" t="s">
        <v>25</v>
      </c>
      <c r="C885" t="s">
        <v>26</v>
      </c>
      <c r="D885" t="s">
        <v>27</v>
      </c>
      <c r="E885">
        <v>0</v>
      </c>
    </row>
    <row r="886" spans="2:5" x14ac:dyDescent="0.25">
      <c r="B886" t="s">
        <v>275</v>
      </c>
      <c r="C886" t="s">
        <v>276</v>
      </c>
      <c r="D886" t="s">
        <v>277</v>
      </c>
      <c r="E886">
        <v>0</v>
      </c>
    </row>
    <row r="887" spans="2:5" x14ac:dyDescent="0.25">
      <c r="B887" t="s">
        <v>91</v>
      </c>
      <c r="C887" t="s">
        <v>278</v>
      </c>
      <c r="D887" t="s">
        <v>279</v>
      </c>
      <c r="E887">
        <v>0</v>
      </c>
    </row>
    <row r="888" spans="2:5" x14ac:dyDescent="0.25">
      <c r="B888" t="s">
        <v>55</v>
      </c>
      <c r="C888" t="s">
        <v>280</v>
      </c>
      <c r="D888" t="s">
        <v>281</v>
      </c>
      <c r="E888">
        <v>0</v>
      </c>
    </row>
    <row r="889" spans="2:5" x14ac:dyDescent="0.25">
      <c r="B889" t="s">
        <v>8</v>
      </c>
      <c r="C889" t="s">
        <v>282</v>
      </c>
      <c r="D889" t="s">
        <v>283</v>
      </c>
      <c r="E889">
        <v>0</v>
      </c>
    </row>
    <row r="890" spans="2:5" x14ac:dyDescent="0.25">
      <c r="B890" t="s">
        <v>8</v>
      </c>
      <c r="C890" t="s">
        <v>284</v>
      </c>
      <c r="D890" t="s">
        <v>285</v>
      </c>
      <c r="E890">
        <v>0</v>
      </c>
    </row>
    <row r="891" spans="2:5" x14ac:dyDescent="0.25">
      <c r="B891" t="s">
        <v>25</v>
      </c>
      <c r="C891" t="s">
        <v>286</v>
      </c>
      <c r="D891" t="s">
        <v>287</v>
      </c>
      <c r="E891">
        <v>0</v>
      </c>
    </row>
    <row r="892" spans="2:5" x14ac:dyDescent="0.25">
      <c r="B892" t="s">
        <v>261</v>
      </c>
      <c r="C892" t="s">
        <v>288</v>
      </c>
      <c r="D892" t="s">
        <v>289</v>
      </c>
      <c r="E892">
        <v>0</v>
      </c>
    </row>
    <row r="893" spans="2:5" x14ac:dyDescent="0.25">
      <c r="B893" t="s">
        <v>261</v>
      </c>
      <c r="C893" t="s">
        <v>290</v>
      </c>
      <c r="D893" t="s">
        <v>291</v>
      </c>
      <c r="E893">
        <v>0</v>
      </c>
    </row>
    <row r="894" spans="2:5" x14ac:dyDescent="0.25">
      <c r="B894" t="s">
        <v>14</v>
      </c>
      <c r="C894" t="s">
        <v>292</v>
      </c>
      <c r="D894" t="s">
        <v>293</v>
      </c>
      <c r="E894">
        <v>0</v>
      </c>
    </row>
    <row r="895" spans="2:5" x14ac:dyDescent="0.25">
      <c r="B895" t="s">
        <v>52</v>
      </c>
      <c r="C895" t="s">
        <v>294</v>
      </c>
      <c r="D895" t="s">
        <v>295</v>
      </c>
      <c r="E895">
        <v>0</v>
      </c>
    </row>
    <row r="896" spans="2:5" x14ac:dyDescent="0.25">
      <c r="B896" t="s">
        <v>8</v>
      </c>
      <c r="C896" t="s">
        <v>171</v>
      </c>
      <c r="D896" t="s">
        <v>172</v>
      </c>
      <c r="E896">
        <v>0</v>
      </c>
    </row>
    <row r="897" spans="2:5" x14ac:dyDescent="0.25">
      <c r="B897" t="s">
        <v>73</v>
      </c>
      <c r="C897" t="s">
        <v>235</v>
      </c>
      <c r="D897" t="s">
        <v>236</v>
      </c>
      <c r="E897">
        <v>0</v>
      </c>
    </row>
    <row r="898" spans="2:5" x14ac:dyDescent="0.25">
      <c r="B898" t="s">
        <v>137</v>
      </c>
      <c r="C898" t="s">
        <v>138</v>
      </c>
      <c r="D898" t="s">
        <v>139</v>
      </c>
      <c r="E898">
        <v>2400</v>
      </c>
    </row>
    <row r="899" spans="2:5" x14ac:dyDescent="0.25">
      <c r="B899" t="s">
        <v>175</v>
      </c>
      <c r="C899" t="s">
        <v>178</v>
      </c>
      <c r="D899" t="s">
        <v>179</v>
      </c>
      <c r="E899">
        <v>3560</v>
      </c>
    </row>
    <row r="900" spans="2:5" x14ac:dyDescent="0.25">
      <c r="B900" t="s">
        <v>145</v>
      </c>
      <c r="C900" t="s">
        <v>225</v>
      </c>
      <c r="D900" t="s">
        <v>226</v>
      </c>
      <c r="E900">
        <v>35</v>
      </c>
    </row>
    <row r="901" spans="2:5" x14ac:dyDescent="0.25">
      <c r="B901" t="s">
        <v>40</v>
      </c>
      <c r="C901" t="s">
        <v>41</v>
      </c>
      <c r="D901" t="s">
        <v>42</v>
      </c>
      <c r="E901">
        <v>0</v>
      </c>
    </row>
    <row r="902" spans="2:5" x14ac:dyDescent="0.25">
      <c r="B902" t="s">
        <v>161</v>
      </c>
      <c r="C902" t="s">
        <v>162</v>
      </c>
      <c r="D902" t="s">
        <v>163</v>
      </c>
      <c r="E902">
        <v>0</v>
      </c>
    </row>
    <row r="903" spans="2:5" x14ac:dyDescent="0.25">
      <c r="B903" t="s">
        <v>164</v>
      </c>
      <c r="C903" t="s">
        <v>165</v>
      </c>
      <c r="D903" t="s">
        <v>166</v>
      </c>
      <c r="E903">
        <v>0</v>
      </c>
    </row>
    <row r="904" spans="2:5" x14ac:dyDescent="0.25">
      <c r="B904" t="s">
        <v>164</v>
      </c>
      <c r="C904" t="s">
        <v>167</v>
      </c>
      <c r="D904" t="s">
        <v>168</v>
      </c>
      <c r="E904">
        <v>0</v>
      </c>
    </row>
    <row r="905" spans="2:5" x14ac:dyDescent="0.25">
      <c r="B905" t="s">
        <v>164</v>
      </c>
      <c r="C905" t="s">
        <v>169</v>
      </c>
      <c r="D905" t="s">
        <v>170</v>
      </c>
      <c r="E905">
        <v>0</v>
      </c>
    </row>
    <row r="906" spans="2:5" x14ac:dyDescent="0.25">
      <c r="B906" t="s">
        <v>8</v>
      </c>
      <c r="C906" t="s">
        <v>171</v>
      </c>
      <c r="D906" t="s">
        <v>172</v>
      </c>
      <c r="E906">
        <v>0</v>
      </c>
    </row>
    <row r="907" spans="2:5" x14ac:dyDescent="0.25">
      <c r="B907" t="s">
        <v>20</v>
      </c>
      <c r="C907" t="s">
        <v>173</v>
      </c>
      <c r="D907" t="s">
        <v>174</v>
      </c>
      <c r="E907">
        <v>0</v>
      </c>
    </row>
    <row r="908" spans="2:5" x14ac:dyDescent="0.25">
      <c r="B908" t="s">
        <v>175</v>
      </c>
      <c r="C908" t="s">
        <v>176</v>
      </c>
      <c r="D908" t="s">
        <v>177</v>
      </c>
      <c r="E908">
        <v>0</v>
      </c>
    </row>
    <row r="909" spans="2:5" x14ac:dyDescent="0.25">
      <c r="B909" t="s">
        <v>175</v>
      </c>
      <c r="C909" t="s">
        <v>178</v>
      </c>
      <c r="D909" t="s">
        <v>179</v>
      </c>
      <c r="E909">
        <v>1900</v>
      </c>
    </row>
    <row r="910" spans="2:5" x14ac:dyDescent="0.25">
      <c r="B910" t="s">
        <v>120</v>
      </c>
      <c r="C910" t="s">
        <v>180</v>
      </c>
      <c r="D910" t="s">
        <v>181</v>
      </c>
      <c r="E910">
        <v>0</v>
      </c>
    </row>
    <row r="911" spans="2:5" x14ac:dyDescent="0.25">
      <c r="B911" t="s">
        <v>120</v>
      </c>
      <c r="C911" t="s">
        <v>121</v>
      </c>
      <c r="D911" t="s">
        <v>122</v>
      </c>
      <c r="E911">
        <v>0</v>
      </c>
    </row>
    <row r="912" spans="2:5" x14ac:dyDescent="0.25">
      <c r="B912" t="s">
        <v>114</v>
      </c>
      <c r="C912" t="s">
        <v>115</v>
      </c>
      <c r="D912" t="s">
        <v>116</v>
      </c>
      <c r="E912">
        <v>0</v>
      </c>
    </row>
    <row r="913" spans="2:5" x14ac:dyDescent="0.25">
      <c r="B913" t="s">
        <v>164</v>
      </c>
      <c r="C913" t="s">
        <v>182</v>
      </c>
      <c r="D913" t="s">
        <v>183</v>
      </c>
      <c r="E913">
        <v>0</v>
      </c>
    </row>
    <row r="914" spans="2:5" x14ac:dyDescent="0.25">
      <c r="B914" t="s">
        <v>164</v>
      </c>
      <c r="C914" t="s">
        <v>182</v>
      </c>
      <c r="D914" t="s">
        <v>183</v>
      </c>
      <c r="E914">
        <v>348.09</v>
      </c>
    </row>
    <row r="915" spans="2:5" x14ac:dyDescent="0.25">
      <c r="B915" t="s">
        <v>80</v>
      </c>
      <c r="C915" t="s">
        <v>184</v>
      </c>
      <c r="D915" t="s">
        <v>185</v>
      </c>
      <c r="E915">
        <v>0</v>
      </c>
    </row>
    <row r="916" spans="2:5" x14ac:dyDescent="0.25">
      <c r="B916" t="s">
        <v>186</v>
      </c>
      <c r="C916" t="s">
        <v>187</v>
      </c>
      <c r="D916" t="s">
        <v>188</v>
      </c>
      <c r="E916">
        <v>50</v>
      </c>
    </row>
    <row r="917" spans="2:5" x14ac:dyDescent="0.25">
      <c r="B917" t="s">
        <v>52</v>
      </c>
      <c r="C917" t="s">
        <v>189</v>
      </c>
      <c r="D917" t="s">
        <v>190</v>
      </c>
      <c r="E917">
        <v>0</v>
      </c>
    </row>
    <row r="918" spans="2:5" x14ac:dyDescent="0.25">
      <c r="B918" t="s">
        <v>11</v>
      </c>
      <c r="C918" t="s">
        <v>191</v>
      </c>
      <c r="D918" t="s">
        <v>192</v>
      </c>
      <c r="E918">
        <v>0</v>
      </c>
    </row>
    <row r="919" spans="2:5" x14ac:dyDescent="0.25">
      <c r="B919" t="s">
        <v>186</v>
      </c>
      <c r="C919" t="s">
        <v>193</v>
      </c>
      <c r="D919" t="s">
        <v>194</v>
      </c>
      <c r="E919">
        <v>0</v>
      </c>
    </row>
    <row r="920" spans="2:5" x14ac:dyDescent="0.25">
      <c r="B920" t="s">
        <v>272</v>
      </c>
      <c r="C920" t="s">
        <v>273</v>
      </c>
      <c r="D920" t="s">
        <v>274</v>
      </c>
      <c r="E920">
        <v>0</v>
      </c>
    </row>
    <row r="921" spans="2:5" x14ac:dyDescent="0.25">
      <c r="B921" t="s">
        <v>114</v>
      </c>
      <c r="C921" t="s">
        <v>115</v>
      </c>
      <c r="D921" t="s">
        <v>116</v>
      </c>
      <c r="E921">
        <v>0</v>
      </c>
    </row>
    <row r="922" spans="2:5" x14ac:dyDescent="0.25">
      <c r="B922" t="s">
        <v>80</v>
      </c>
      <c r="C922" t="s">
        <v>240</v>
      </c>
      <c r="D922" t="s">
        <v>241</v>
      </c>
      <c r="E922">
        <v>0</v>
      </c>
    </row>
    <row r="923" spans="2:5" x14ac:dyDescent="0.25">
      <c r="B923" t="s">
        <v>266</v>
      </c>
      <c r="C923" t="s">
        <v>1556</v>
      </c>
      <c r="D923" t="s">
        <v>1557</v>
      </c>
      <c r="E923">
        <v>1000</v>
      </c>
    </row>
    <row r="924" spans="2:5" x14ac:dyDescent="0.25">
      <c r="B924" t="s">
        <v>40</v>
      </c>
      <c r="C924" t="s">
        <v>41</v>
      </c>
      <c r="D924" t="s">
        <v>42</v>
      </c>
      <c r="E924">
        <v>2</v>
      </c>
    </row>
    <row r="925" spans="2:5" x14ac:dyDescent="0.25">
      <c r="B925" t="s">
        <v>195</v>
      </c>
      <c r="C925" t="s">
        <v>196</v>
      </c>
      <c r="D925" t="s">
        <v>197</v>
      </c>
      <c r="E925">
        <v>1000</v>
      </c>
    </row>
    <row r="926" spans="2:5" x14ac:dyDescent="0.25">
      <c r="B926" t="s">
        <v>195</v>
      </c>
      <c r="C926" t="s">
        <v>196</v>
      </c>
      <c r="D926" t="s">
        <v>197</v>
      </c>
      <c r="E926">
        <v>0</v>
      </c>
    </row>
    <row r="927" spans="2:5" x14ac:dyDescent="0.25">
      <c r="B927" t="s">
        <v>198</v>
      </c>
      <c r="C927" t="s">
        <v>199</v>
      </c>
      <c r="D927" t="s">
        <v>200</v>
      </c>
      <c r="E927">
        <v>0</v>
      </c>
    </row>
    <row r="928" spans="2:5" x14ac:dyDescent="0.25">
      <c r="B928" t="s">
        <v>117</v>
      </c>
      <c r="C928" t="s">
        <v>201</v>
      </c>
      <c r="D928" t="s">
        <v>202</v>
      </c>
      <c r="E928">
        <v>0</v>
      </c>
    </row>
    <row r="929" spans="2:5" x14ac:dyDescent="0.25">
      <c r="B929" t="s">
        <v>164</v>
      </c>
      <c r="C929" t="s">
        <v>165</v>
      </c>
      <c r="D929" t="s">
        <v>166</v>
      </c>
      <c r="E929">
        <v>0</v>
      </c>
    </row>
    <row r="930" spans="2:5" x14ac:dyDescent="0.25">
      <c r="B930" t="s">
        <v>164</v>
      </c>
      <c r="C930" t="s">
        <v>167</v>
      </c>
      <c r="D930" t="s">
        <v>168</v>
      </c>
      <c r="E930">
        <v>18</v>
      </c>
    </row>
    <row r="931" spans="2:5" x14ac:dyDescent="0.25">
      <c r="B931" t="s">
        <v>164</v>
      </c>
      <c r="C931" t="s">
        <v>167</v>
      </c>
      <c r="D931" t="s">
        <v>168</v>
      </c>
      <c r="E931">
        <v>0</v>
      </c>
    </row>
    <row r="932" spans="2:5" x14ac:dyDescent="0.25">
      <c r="B932" t="s">
        <v>164</v>
      </c>
      <c r="C932" t="s">
        <v>169</v>
      </c>
      <c r="D932" t="s">
        <v>170</v>
      </c>
      <c r="E932">
        <v>15</v>
      </c>
    </row>
    <row r="933" spans="2:5" x14ac:dyDescent="0.25">
      <c r="B933" t="s">
        <v>164</v>
      </c>
      <c r="C933" t="s">
        <v>169</v>
      </c>
      <c r="D933" t="s">
        <v>170</v>
      </c>
      <c r="E933">
        <v>0</v>
      </c>
    </row>
    <row r="934" spans="2:5" x14ac:dyDescent="0.25">
      <c r="B934" t="s">
        <v>203</v>
      </c>
      <c r="C934" t="s">
        <v>204</v>
      </c>
      <c r="D934" t="s">
        <v>205</v>
      </c>
      <c r="E934">
        <v>5</v>
      </c>
    </row>
    <row r="935" spans="2:5" x14ac:dyDescent="0.25">
      <c r="B935" t="s">
        <v>206</v>
      </c>
      <c r="C935" t="s">
        <v>207</v>
      </c>
      <c r="D935" t="s">
        <v>208</v>
      </c>
      <c r="E935">
        <v>0</v>
      </c>
    </row>
    <row r="936" spans="2:5" x14ac:dyDescent="0.25">
      <c r="B936" t="s">
        <v>206</v>
      </c>
      <c r="C936" t="s">
        <v>207</v>
      </c>
      <c r="D936" t="s">
        <v>208</v>
      </c>
      <c r="E936">
        <v>0</v>
      </c>
    </row>
    <row r="937" spans="2:5" x14ac:dyDescent="0.25">
      <c r="B937" t="s">
        <v>209</v>
      </c>
      <c r="C937" t="s">
        <v>210</v>
      </c>
      <c r="D937" t="s">
        <v>211</v>
      </c>
      <c r="E937">
        <v>1920</v>
      </c>
    </row>
    <row r="938" spans="2:5" x14ac:dyDescent="0.25">
      <c r="B938" t="s">
        <v>55</v>
      </c>
      <c r="C938" t="s">
        <v>212</v>
      </c>
      <c r="D938" t="s">
        <v>213</v>
      </c>
      <c r="E938">
        <v>3640</v>
      </c>
    </row>
    <row r="939" spans="2:5" x14ac:dyDescent="0.25">
      <c r="B939" t="s">
        <v>55</v>
      </c>
      <c r="C939" t="s">
        <v>212</v>
      </c>
      <c r="D939" t="s">
        <v>213</v>
      </c>
      <c r="E939">
        <v>0</v>
      </c>
    </row>
    <row r="940" spans="2:5" x14ac:dyDescent="0.25">
      <c r="B940" t="s">
        <v>55</v>
      </c>
      <c r="C940" t="s">
        <v>212</v>
      </c>
      <c r="D940" t="s">
        <v>213</v>
      </c>
      <c r="E940">
        <v>0</v>
      </c>
    </row>
    <row r="941" spans="2:5" x14ac:dyDescent="0.25">
      <c r="B941" t="s">
        <v>214</v>
      </c>
      <c r="C941" t="s">
        <v>215</v>
      </c>
      <c r="D941" t="s">
        <v>216</v>
      </c>
      <c r="E941">
        <v>0</v>
      </c>
    </row>
    <row r="942" spans="2:5" x14ac:dyDescent="0.25">
      <c r="B942" t="s">
        <v>214</v>
      </c>
      <c r="C942" t="s">
        <v>215</v>
      </c>
      <c r="D942" t="s">
        <v>216</v>
      </c>
      <c r="E942">
        <v>0</v>
      </c>
    </row>
    <row r="943" spans="2:5" x14ac:dyDescent="0.25">
      <c r="B943" t="s">
        <v>217</v>
      </c>
      <c r="C943" t="s">
        <v>218</v>
      </c>
      <c r="D943" t="s">
        <v>219</v>
      </c>
      <c r="E943">
        <v>1331</v>
      </c>
    </row>
    <row r="944" spans="2:5" x14ac:dyDescent="0.25">
      <c r="B944" t="s">
        <v>58</v>
      </c>
      <c r="C944" t="s">
        <v>220</v>
      </c>
      <c r="D944" t="s">
        <v>221</v>
      </c>
      <c r="E944">
        <v>0</v>
      </c>
    </row>
    <row r="945" spans="2:5" x14ac:dyDescent="0.25">
      <c r="B945" t="s">
        <v>222</v>
      </c>
      <c r="C945" t="s">
        <v>223</v>
      </c>
      <c r="D945" t="s">
        <v>224</v>
      </c>
      <c r="E945">
        <v>4900</v>
      </c>
    </row>
    <row r="946" spans="2:5" x14ac:dyDescent="0.25">
      <c r="B946" t="s">
        <v>222</v>
      </c>
      <c r="C946" t="s">
        <v>223</v>
      </c>
      <c r="D946" t="s">
        <v>224</v>
      </c>
      <c r="E946">
        <v>0</v>
      </c>
    </row>
    <row r="947" spans="2:5" x14ac:dyDescent="0.25">
      <c r="B947" t="s">
        <v>145</v>
      </c>
      <c r="C947" t="s">
        <v>225</v>
      </c>
      <c r="D947" t="s">
        <v>226</v>
      </c>
      <c r="E947">
        <v>305</v>
      </c>
    </row>
    <row r="948" spans="2:5" x14ac:dyDescent="0.25">
      <c r="B948" t="s">
        <v>145</v>
      </c>
      <c r="C948" t="s">
        <v>227</v>
      </c>
      <c r="D948" t="s">
        <v>228</v>
      </c>
      <c r="E948">
        <v>0</v>
      </c>
    </row>
    <row r="949" spans="2:5" x14ac:dyDescent="0.25">
      <c r="B949" t="s">
        <v>145</v>
      </c>
      <c r="C949" t="s">
        <v>227</v>
      </c>
      <c r="D949" t="s">
        <v>228</v>
      </c>
      <c r="E949">
        <v>0</v>
      </c>
    </row>
    <row r="950" spans="2:5" x14ac:dyDescent="0.25">
      <c r="B950" t="s">
        <v>145</v>
      </c>
      <c r="C950" t="s">
        <v>229</v>
      </c>
      <c r="D950" t="s">
        <v>230</v>
      </c>
      <c r="E950">
        <v>50</v>
      </c>
    </row>
    <row r="951" spans="2:5" x14ac:dyDescent="0.25">
      <c r="B951" t="s">
        <v>145</v>
      </c>
      <c r="C951" t="s">
        <v>229</v>
      </c>
      <c r="D951" t="s">
        <v>230</v>
      </c>
      <c r="E951">
        <v>0</v>
      </c>
    </row>
    <row r="952" spans="2:5" x14ac:dyDescent="0.25">
      <c r="B952" t="s">
        <v>61</v>
      </c>
      <c r="C952" t="s">
        <v>159</v>
      </c>
      <c r="D952" t="s">
        <v>160</v>
      </c>
      <c r="E952">
        <v>0</v>
      </c>
    </row>
    <row r="953" spans="2:5" x14ac:dyDescent="0.25">
      <c r="B953" t="s">
        <v>61</v>
      </c>
      <c r="C953" t="s">
        <v>231</v>
      </c>
      <c r="D953" t="s">
        <v>232</v>
      </c>
      <c r="E953">
        <v>4860</v>
      </c>
    </row>
    <row r="954" spans="2:5" x14ac:dyDescent="0.25">
      <c r="B954" t="s">
        <v>61</v>
      </c>
      <c r="C954" t="s">
        <v>231</v>
      </c>
      <c r="D954" t="s">
        <v>232</v>
      </c>
      <c r="E954">
        <v>0</v>
      </c>
    </row>
    <row r="955" spans="2:5" x14ac:dyDescent="0.25">
      <c r="B955" t="s">
        <v>61</v>
      </c>
      <c r="C955" t="s">
        <v>231</v>
      </c>
      <c r="D955" t="s">
        <v>232</v>
      </c>
      <c r="E955">
        <v>0</v>
      </c>
    </row>
    <row r="956" spans="2:5" x14ac:dyDescent="0.25">
      <c r="B956" t="s">
        <v>61</v>
      </c>
      <c r="C956" t="s">
        <v>233</v>
      </c>
      <c r="D956" t="s">
        <v>234</v>
      </c>
      <c r="E956">
        <v>1600</v>
      </c>
    </row>
    <row r="957" spans="2:5" x14ac:dyDescent="0.25">
      <c r="B957" t="s">
        <v>61</v>
      </c>
      <c r="C957" t="s">
        <v>233</v>
      </c>
      <c r="D957" t="s">
        <v>234</v>
      </c>
      <c r="E957">
        <v>0</v>
      </c>
    </row>
    <row r="958" spans="2:5" x14ac:dyDescent="0.25">
      <c r="B958" t="s">
        <v>73</v>
      </c>
      <c r="C958" t="s">
        <v>235</v>
      </c>
      <c r="D958" t="s">
        <v>236</v>
      </c>
      <c r="E958">
        <v>0</v>
      </c>
    </row>
    <row r="959" spans="2:5" x14ac:dyDescent="0.25">
      <c r="B959" t="s">
        <v>237</v>
      </c>
      <c r="C959" t="s">
        <v>238</v>
      </c>
      <c r="D959" t="s">
        <v>239</v>
      </c>
      <c r="E959">
        <v>130</v>
      </c>
    </row>
    <row r="960" spans="2:5" x14ac:dyDescent="0.25">
      <c r="B960" t="s">
        <v>237</v>
      </c>
      <c r="C960" t="s">
        <v>238</v>
      </c>
      <c r="D960" t="s">
        <v>239</v>
      </c>
      <c r="E960">
        <v>0</v>
      </c>
    </row>
    <row r="961" spans="2:5" x14ac:dyDescent="0.25">
      <c r="B961" t="s">
        <v>237</v>
      </c>
      <c r="C961" t="s">
        <v>238</v>
      </c>
      <c r="D961" t="s">
        <v>239</v>
      </c>
      <c r="E961">
        <v>0</v>
      </c>
    </row>
    <row r="962" spans="2:5" x14ac:dyDescent="0.25">
      <c r="B962" t="s">
        <v>80</v>
      </c>
      <c r="C962" t="s">
        <v>240</v>
      </c>
      <c r="D962" t="s">
        <v>241</v>
      </c>
      <c r="E962">
        <v>3835</v>
      </c>
    </row>
    <row r="963" spans="2:5" x14ac:dyDescent="0.25">
      <c r="B963" t="s">
        <v>80</v>
      </c>
      <c r="C963" t="s">
        <v>184</v>
      </c>
      <c r="D963" t="s">
        <v>185</v>
      </c>
      <c r="E963">
        <v>220</v>
      </c>
    </row>
    <row r="964" spans="2:5" x14ac:dyDescent="0.25">
      <c r="B964" t="s">
        <v>83</v>
      </c>
      <c r="C964" t="s">
        <v>242</v>
      </c>
      <c r="D964" t="s">
        <v>243</v>
      </c>
      <c r="E964">
        <v>480</v>
      </c>
    </row>
    <row r="965" spans="2:5" x14ac:dyDescent="0.25">
      <c r="B965" t="s">
        <v>83</v>
      </c>
      <c r="C965" t="s">
        <v>242</v>
      </c>
      <c r="D965" t="s">
        <v>243</v>
      </c>
      <c r="E965">
        <v>0</v>
      </c>
    </row>
    <row r="966" spans="2:5" x14ac:dyDescent="0.25">
      <c r="B966" t="s">
        <v>52</v>
      </c>
      <c r="C966" t="s">
        <v>244</v>
      </c>
      <c r="D966" t="s">
        <v>245</v>
      </c>
      <c r="E966">
        <v>0</v>
      </c>
    </row>
    <row r="967" spans="2:5" x14ac:dyDescent="0.25">
      <c r="B967" t="s">
        <v>52</v>
      </c>
      <c r="C967" t="s">
        <v>246</v>
      </c>
      <c r="D967" t="s">
        <v>247</v>
      </c>
      <c r="E967">
        <v>0</v>
      </c>
    </row>
    <row r="968" spans="2:5" x14ac:dyDescent="0.25">
      <c r="B968" t="s">
        <v>52</v>
      </c>
      <c r="C968" t="s">
        <v>246</v>
      </c>
      <c r="D968" t="s">
        <v>247</v>
      </c>
      <c r="E968">
        <v>0</v>
      </c>
    </row>
    <row r="969" spans="2:5" x14ac:dyDescent="0.25">
      <c r="B969" t="s">
        <v>52</v>
      </c>
      <c r="C969" t="s">
        <v>248</v>
      </c>
      <c r="D969" t="s">
        <v>249</v>
      </c>
      <c r="E969">
        <v>0</v>
      </c>
    </row>
    <row r="970" spans="2:5" x14ac:dyDescent="0.25">
      <c r="B970" t="s">
        <v>52</v>
      </c>
      <c r="C970" t="s">
        <v>248</v>
      </c>
      <c r="D970" t="s">
        <v>249</v>
      </c>
      <c r="E970">
        <v>0</v>
      </c>
    </row>
    <row r="971" spans="2:5" x14ac:dyDescent="0.25">
      <c r="B971" t="s">
        <v>128</v>
      </c>
      <c r="C971" t="s">
        <v>129</v>
      </c>
      <c r="D971" t="s">
        <v>130</v>
      </c>
      <c r="E971">
        <v>0</v>
      </c>
    </row>
    <row r="972" spans="2:5" x14ac:dyDescent="0.25">
      <c r="B972" t="s">
        <v>128</v>
      </c>
      <c r="C972" t="s">
        <v>129</v>
      </c>
      <c r="D972" t="s">
        <v>130</v>
      </c>
      <c r="E972">
        <v>0</v>
      </c>
    </row>
    <row r="973" spans="2:5" x14ac:dyDescent="0.25">
      <c r="B973" t="s">
        <v>128</v>
      </c>
      <c r="C973" t="s">
        <v>129</v>
      </c>
      <c r="D973" t="s">
        <v>130</v>
      </c>
      <c r="E973">
        <v>0</v>
      </c>
    </row>
    <row r="974" spans="2:5" x14ac:dyDescent="0.25">
      <c r="B974" t="s">
        <v>250</v>
      </c>
      <c r="C974" t="s">
        <v>251</v>
      </c>
      <c r="D974" t="s">
        <v>252</v>
      </c>
      <c r="E974">
        <v>0</v>
      </c>
    </row>
    <row r="975" spans="2:5" x14ac:dyDescent="0.25">
      <c r="B975" t="s">
        <v>128</v>
      </c>
      <c r="C975" t="s">
        <v>253</v>
      </c>
      <c r="D975" t="s">
        <v>254</v>
      </c>
      <c r="E975">
        <v>0</v>
      </c>
    </row>
    <row r="976" spans="2:5" x14ac:dyDescent="0.25">
      <c r="B976" t="s">
        <v>8</v>
      </c>
      <c r="C976" t="s">
        <v>171</v>
      </c>
      <c r="D976" t="s">
        <v>172</v>
      </c>
      <c r="E976">
        <v>282</v>
      </c>
    </row>
    <row r="977" spans="2:5" x14ac:dyDescent="0.25">
      <c r="B977" t="s">
        <v>17</v>
      </c>
      <c r="C977" t="s">
        <v>255</v>
      </c>
      <c r="D977" t="s">
        <v>256</v>
      </c>
      <c r="E977">
        <v>53680</v>
      </c>
    </row>
    <row r="978" spans="2:5" x14ac:dyDescent="0.25">
      <c r="B978" t="s">
        <v>17</v>
      </c>
      <c r="C978" t="s">
        <v>255</v>
      </c>
      <c r="D978" t="s">
        <v>256</v>
      </c>
      <c r="E978">
        <v>0</v>
      </c>
    </row>
    <row r="979" spans="2:5" x14ac:dyDescent="0.25">
      <c r="B979" t="s">
        <v>17</v>
      </c>
      <c r="C979" t="s">
        <v>255</v>
      </c>
      <c r="D979" t="s">
        <v>256</v>
      </c>
      <c r="E979">
        <v>0</v>
      </c>
    </row>
    <row r="980" spans="2:5" x14ac:dyDescent="0.25">
      <c r="B980" t="s">
        <v>20</v>
      </c>
      <c r="C980" t="s">
        <v>173</v>
      </c>
      <c r="D980" t="s">
        <v>174</v>
      </c>
      <c r="E980">
        <v>26</v>
      </c>
    </row>
    <row r="981" spans="2:5" x14ac:dyDescent="0.25">
      <c r="B981" t="s">
        <v>20</v>
      </c>
      <c r="C981" t="s">
        <v>173</v>
      </c>
      <c r="D981" t="s">
        <v>174</v>
      </c>
      <c r="E981">
        <v>0</v>
      </c>
    </row>
    <row r="982" spans="2:5" x14ac:dyDescent="0.25">
      <c r="B982" t="s">
        <v>20</v>
      </c>
      <c r="C982" t="s">
        <v>257</v>
      </c>
      <c r="D982" t="s">
        <v>258</v>
      </c>
      <c r="E982">
        <v>180</v>
      </c>
    </row>
    <row r="983" spans="2:5" x14ac:dyDescent="0.25">
      <c r="B983" t="s">
        <v>20</v>
      </c>
      <c r="C983" t="s">
        <v>259</v>
      </c>
      <c r="D983" t="s">
        <v>260</v>
      </c>
      <c r="E983">
        <v>0</v>
      </c>
    </row>
    <row r="984" spans="2:5" x14ac:dyDescent="0.25">
      <c r="B984" t="s">
        <v>261</v>
      </c>
      <c r="C984" t="s">
        <v>262</v>
      </c>
      <c r="D984" t="s">
        <v>263</v>
      </c>
      <c r="E984">
        <v>0</v>
      </c>
    </row>
    <row r="985" spans="2:5" x14ac:dyDescent="0.25">
      <c r="B985" t="s">
        <v>261</v>
      </c>
      <c r="C985" t="s">
        <v>264</v>
      </c>
      <c r="D985" t="s">
        <v>265</v>
      </c>
      <c r="E985">
        <v>830</v>
      </c>
    </row>
    <row r="986" spans="2:5" x14ac:dyDescent="0.25">
      <c r="B986" t="s">
        <v>261</v>
      </c>
      <c r="C986" t="s">
        <v>264</v>
      </c>
      <c r="D986" t="s">
        <v>265</v>
      </c>
      <c r="E986">
        <v>0</v>
      </c>
    </row>
    <row r="987" spans="2:5" x14ac:dyDescent="0.25">
      <c r="B987" t="s">
        <v>49</v>
      </c>
      <c r="C987" t="s">
        <v>50</v>
      </c>
      <c r="D987" t="s">
        <v>51</v>
      </c>
      <c r="E987">
        <v>14460</v>
      </c>
    </row>
    <row r="988" spans="2:5" x14ac:dyDescent="0.25">
      <c r="B988" t="s">
        <v>763</v>
      </c>
      <c r="C988" t="s">
        <v>764</v>
      </c>
      <c r="D988" t="s">
        <v>765</v>
      </c>
      <c r="E988">
        <v>0</v>
      </c>
    </row>
    <row r="989" spans="2:5" x14ac:dyDescent="0.25">
      <c r="B989" t="s">
        <v>131</v>
      </c>
      <c r="C989" t="s">
        <v>766</v>
      </c>
      <c r="D989" t="s">
        <v>767</v>
      </c>
      <c r="E989">
        <v>0</v>
      </c>
    </row>
    <row r="990" spans="2:5" x14ac:dyDescent="0.25">
      <c r="B990" t="s">
        <v>161</v>
      </c>
      <c r="C990" t="s">
        <v>162</v>
      </c>
      <c r="D990" t="s">
        <v>163</v>
      </c>
      <c r="E990">
        <v>203</v>
      </c>
    </row>
    <row r="991" spans="2:5" x14ac:dyDescent="0.25">
      <c r="B991" t="s">
        <v>164</v>
      </c>
      <c r="C991" t="s">
        <v>167</v>
      </c>
      <c r="D991" t="s">
        <v>168</v>
      </c>
      <c r="E991">
        <v>0</v>
      </c>
    </row>
    <row r="992" spans="2:5" x14ac:dyDescent="0.25">
      <c r="B992" t="s">
        <v>209</v>
      </c>
      <c r="C992" t="s">
        <v>768</v>
      </c>
      <c r="D992" t="s">
        <v>769</v>
      </c>
      <c r="E992">
        <v>0</v>
      </c>
    </row>
    <row r="993" spans="2:5" x14ac:dyDescent="0.25">
      <c r="B993" t="s">
        <v>14</v>
      </c>
      <c r="C993" t="s">
        <v>47</v>
      </c>
      <c r="D993" t="s">
        <v>48</v>
      </c>
      <c r="E993">
        <v>0</v>
      </c>
    </row>
    <row r="994" spans="2:5" x14ac:dyDescent="0.25">
      <c r="B994" t="s">
        <v>20</v>
      </c>
      <c r="C994" t="s">
        <v>257</v>
      </c>
      <c r="D994" t="s">
        <v>258</v>
      </c>
      <c r="E994">
        <v>0</v>
      </c>
    </row>
    <row r="995" spans="2:5" x14ac:dyDescent="0.25">
      <c r="B995" t="s">
        <v>8</v>
      </c>
      <c r="C995" t="s">
        <v>9</v>
      </c>
      <c r="D995" t="s">
        <v>10</v>
      </c>
      <c r="E995">
        <v>0</v>
      </c>
    </row>
    <row r="996" spans="2:5" x14ac:dyDescent="0.25">
      <c r="B996" t="s">
        <v>770</v>
      </c>
      <c r="C996" t="s">
        <v>771</v>
      </c>
      <c r="D996" t="s">
        <v>772</v>
      </c>
      <c r="E996">
        <v>0</v>
      </c>
    </row>
    <row r="997" spans="2:5" x14ac:dyDescent="0.25">
      <c r="B997" t="s">
        <v>773</v>
      </c>
      <c r="C997" t="s">
        <v>774</v>
      </c>
      <c r="D997" t="s">
        <v>775</v>
      </c>
      <c r="E997">
        <v>0</v>
      </c>
    </row>
    <row r="998" spans="2:5" x14ac:dyDescent="0.25">
      <c r="B998" t="s">
        <v>64</v>
      </c>
      <c r="C998" t="s">
        <v>776</v>
      </c>
      <c r="D998" t="s">
        <v>777</v>
      </c>
      <c r="E998">
        <v>0</v>
      </c>
    </row>
    <row r="999" spans="2:5" x14ac:dyDescent="0.25">
      <c r="B999" t="s">
        <v>73</v>
      </c>
      <c r="C999" t="s">
        <v>778</v>
      </c>
      <c r="D999" t="s">
        <v>779</v>
      </c>
      <c r="E999">
        <v>0</v>
      </c>
    </row>
    <row r="1000" spans="2:5" x14ac:dyDescent="0.25">
      <c r="B1000" t="s">
        <v>214</v>
      </c>
      <c r="C1000" t="s">
        <v>780</v>
      </c>
      <c r="D1000" t="s">
        <v>781</v>
      </c>
      <c r="E1000">
        <v>0</v>
      </c>
    </row>
    <row r="1001" spans="2:5" x14ac:dyDescent="0.25">
      <c r="B1001" t="s">
        <v>214</v>
      </c>
      <c r="C1001" t="s">
        <v>780</v>
      </c>
      <c r="D1001" t="s">
        <v>781</v>
      </c>
      <c r="E1001">
        <v>0</v>
      </c>
    </row>
    <row r="1002" spans="2:5" x14ac:dyDescent="0.25">
      <c r="B1002" t="s">
        <v>58</v>
      </c>
      <c r="C1002" t="s">
        <v>782</v>
      </c>
      <c r="D1002" t="s">
        <v>783</v>
      </c>
      <c r="E1002">
        <v>0</v>
      </c>
    </row>
    <row r="1003" spans="2:5" x14ac:dyDescent="0.25">
      <c r="B1003" t="s">
        <v>58</v>
      </c>
      <c r="C1003" t="s">
        <v>784</v>
      </c>
      <c r="D1003" t="s">
        <v>785</v>
      </c>
      <c r="E1003">
        <v>0</v>
      </c>
    </row>
    <row r="1004" spans="2:5" x14ac:dyDescent="0.25">
      <c r="B1004" t="s">
        <v>145</v>
      </c>
      <c r="C1004" t="s">
        <v>225</v>
      </c>
      <c r="D1004" t="s">
        <v>226</v>
      </c>
      <c r="E1004">
        <v>0</v>
      </c>
    </row>
    <row r="1005" spans="2:5" x14ac:dyDescent="0.25">
      <c r="B1005" t="s">
        <v>145</v>
      </c>
      <c r="C1005" t="s">
        <v>225</v>
      </c>
      <c r="D1005" t="s">
        <v>226</v>
      </c>
      <c r="E1005">
        <v>0</v>
      </c>
    </row>
    <row r="1006" spans="2:5" x14ac:dyDescent="0.25">
      <c r="B1006" t="s">
        <v>145</v>
      </c>
      <c r="C1006" t="s">
        <v>146</v>
      </c>
      <c r="D1006" t="s">
        <v>147</v>
      </c>
      <c r="E1006">
        <v>32800</v>
      </c>
    </row>
    <row r="1007" spans="2:5" x14ac:dyDescent="0.25">
      <c r="B1007" t="s">
        <v>145</v>
      </c>
      <c r="C1007" t="s">
        <v>146</v>
      </c>
      <c r="D1007" t="s">
        <v>147</v>
      </c>
      <c r="E1007">
        <v>400</v>
      </c>
    </row>
    <row r="1008" spans="2:5" x14ac:dyDescent="0.25">
      <c r="B1008" t="s">
        <v>145</v>
      </c>
      <c r="C1008" t="s">
        <v>146</v>
      </c>
      <c r="D1008" t="s">
        <v>147</v>
      </c>
      <c r="E1008">
        <v>0</v>
      </c>
    </row>
    <row r="1009" spans="2:5" x14ac:dyDescent="0.25">
      <c r="B1009" t="s">
        <v>786</v>
      </c>
      <c r="C1009" t="s">
        <v>787</v>
      </c>
      <c r="D1009" t="s">
        <v>788</v>
      </c>
      <c r="E1009">
        <v>0</v>
      </c>
    </row>
    <row r="1010" spans="2:5" x14ac:dyDescent="0.25">
      <c r="B1010" t="s">
        <v>61</v>
      </c>
      <c r="C1010" t="s">
        <v>159</v>
      </c>
      <c r="D1010" t="s">
        <v>160</v>
      </c>
      <c r="E1010">
        <v>25</v>
      </c>
    </row>
    <row r="1011" spans="2:5" x14ac:dyDescent="0.25">
      <c r="B1011" t="s">
        <v>64</v>
      </c>
      <c r="C1011" t="s">
        <v>789</v>
      </c>
      <c r="D1011" t="s">
        <v>790</v>
      </c>
      <c r="E1011">
        <v>47</v>
      </c>
    </row>
    <row r="1012" spans="2:5" x14ac:dyDescent="0.25">
      <c r="B1012" t="s">
        <v>64</v>
      </c>
      <c r="C1012" t="s">
        <v>791</v>
      </c>
      <c r="D1012" t="s">
        <v>792</v>
      </c>
      <c r="E1012">
        <v>0</v>
      </c>
    </row>
    <row r="1013" spans="2:5" x14ac:dyDescent="0.25">
      <c r="B1013" t="s">
        <v>195</v>
      </c>
      <c r="C1013" t="s">
        <v>793</v>
      </c>
      <c r="D1013" t="s">
        <v>794</v>
      </c>
      <c r="E1013">
        <v>0</v>
      </c>
    </row>
    <row r="1014" spans="2:5" x14ac:dyDescent="0.25">
      <c r="B1014" t="s">
        <v>117</v>
      </c>
      <c r="C1014" t="s">
        <v>795</v>
      </c>
      <c r="D1014" t="s">
        <v>796</v>
      </c>
      <c r="E1014">
        <v>197</v>
      </c>
    </row>
    <row r="1015" spans="2:5" x14ac:dyDescent="0.25">
      <c r="B1015" t="s">
        <v>117</v>
      </c>
      <c r="C1015" t="s">
        <v>795</v>
      </c>
      <c r="D1015" t="s">
        <v>796</v>
      </c>
      <c r="E1015">
        <v>0</v>
      </c>
    </row>
    <row r="1016" spans="2:5" x14ac:dyDescent="0.25">
      <c r="B1016" t="s">
        <v>117</v>
      </c>
      <c r="C1016" t="s">
        <v>118</v>
      </c>
      <c r="D1016" t="s">
        <v>119</v>
      </c>
      <c r="E1016">
        <v>4260</v>
      </c>
    </row>
    <row r="1017" spans="2:5" x14ac:dyDescent="0.25">
      <c r="B1017" t="s">
        <v>797</v>
      </c>
      <c r="C1017" t="s">
        <v>798</v>
      </c>
      <c r="D1017" t="s">
        <v>799</v>
      </c>
      <c r="E1017">
        <v>0</v>
      </c>
    </row>
    <row r="1018" spans="2:5" x14ac:dyDescent="0.25">
      <c r="B1018" t="s">
        <v>797</v>
      </c>
      <c r="C1018" t="s">
        <v>798</v>
      </c>
      <c r="D1018" t="s">
        <v>799</v>
      </c>
      <c r="E1018">
        <v>0</v>
      </c>
    </row>
    <row r="1019" spans="2:5" x14ac:dyDescent="0.25">
      <c r="B1019" t="s">
        <v>797</v>
      </c>
      <c r="C1019" t="s">
        <v>800</v>
      </c>
      <c r="D1019" t="s">
        <v>758</v>
      </c>
      <c r="E1019">
        <v>0</v>
      </c>
    </row>
    <row r="1020" spans="2:5" x14ac:dyDescent="0.25">
      <c r="B1020" t="s">
        <v>801</v>
      </c>
      <c r="C1020" t="s">
        <v>802</v>
      </c>
      <c r="D1020" t="s">
        <v>803</v>
      </c>
      <c r="E1020">
        <v>0</v>
      </c>
    </row>
    <row r="1021" spans="2:5" x14ac:dyDescent="0.25">
      <c r="B1021" t="s">
        <v>804</v>
      </c>
      <c r="C1021" t="s">
        <v>805</v>
      </c>
      <c r="D1021" t="s">
        <v>806</v>
      </c>
      <c r="E1021">
        <v>385</v>
      </c>
    </row>
    <row r="1022" spans="2:5" x14ac:dyDescent="0.25">
      <c r="B1022" t="s">
        <v>804</v>
      </c>
      <c r="C1022" t="s">
        <v>805</v>
      </c>
      <c r="D1022" t="s">
        <v>806</v>
      </c>
      <c r="E1022">
        <v>0</v>
      </c>
    </row>
    <row r="1023" spans="2:5" x14ac:dyDescent="0.25">
      <c r="B1023" t="s">
        <v>73</v>
      </c>
      <c r="C1023" t="s">
        <v>807</v>
      </c>
      <c r="D1023" t="s">
        <v>808</v>
      </c>
      <c r="E1023">
        <v>0</v>
      </c>
    </row>
    <row r="1024" spans="2:5" x14ac:dyDescent="0.25">
      <c r="B1024" t="s">
        <v>73</v>
      </c>
      <c r="C1024" t="s">
        <v>235</v>
      </c>
      <c r="D1024" t="s">
        <v>236</v>
      </c>
      <c r="E1024">
        <v>183</v>
      </c>
    </row>
    <row r="1025" spans="2:5" x14ac:dyDescent="0.25">
      <c r="B1025" t="s">
        <v>763</v>
      </c>
      <c r="C1025" t="s">
        <v>1208</v>
      </c>
      <c r="D1025" t="s">
        <v>1209</v>
      </c>
      <c r="E1025">
        <v>0</v>
      </c>
    </row>
    <row r="1026" spans="2:5" x14ac:dyDescent="0.25">
      <c r="B1026" t="s">
        <v>763</v>
      </c>
      <c r="C1026" t="s">
        <v>1208</v>
      </c>
      <c r="D1026" t="s">
        <v>1209</v>
      </c>
      <c r="E1026">
        <v>0</v>
      </c>
    </row>
    <row r="1027" spans="2:5" x14ac:dyDescent="0.25">
      <c r="B1027" t="s">
        <v>763</v>
      </c>
      <c r="C1027" t="s">
        <v>1210</v>
      </c>
      <c r="D1027" t="s">
        <v>1211</v>
      </c>
      <c r="E1027">
        <v>0</v>
      </c>
    </row>
    <row r="1028" spans="2:5" x14ac:dyDescent="0.25">
      <c r="B1028" t="s">
        <v>763</v>
      </c>
      <c r="C1028" t="s">
        <v>1210</v>
      </c>
      <c r="D1028" t="s">
        <v>1211</v>
      </c>
      <c r="E1028">
        <v>0</v>
      </c>
    </row>
    <row r="1029" spans="2:5" x14ac:dyDescent="0.25">
      <c r="B1029" t="s">
        <v>763</v>
      </c>
      <c r="C1029" t="s">
        <v>1210</v>
      </c>
      <c r="D1029" t="s">
        <v>1211</v>
      </c>
      <c r="E1029">
        <v>0</v>
      </c>
    </row>
    <row r="1030" spans="2:5" x14ac:dyDescent="0.25">
      <c r="B1030" t="s">
        <v>8</v>
      </c>
      <c r="C1030" t="s">
        <v>883</v>
      </c>
      <c r="D1030" t="s">
        <v>884</v>
      </c>
      <c r="E1030">
        <v>0</v>
      </c>
    </row>
    <row r="1031" spans="2:5" x14ac:dyDescent="0.25">
      <c r="B1031" t="s">
        <v>28</v>
      </c>
      <c r="C1031" t="s">
        <v>1394</v>
      </c>
      <c r="D1031" t="s">
        <v>1395</v>
      </c>
      <c r="E1031">
        <v>100</v>
      </c>
    </row>
    <row r="1032" spans="2:5" x14ac:dyDescent="0.25">
      <c r="B1032" t="s">
        <v>1071</v>
      </c>
      <c r="C1032" t="s">
        <v>1072</v>
      </c>
      <c r="D1032" t="s">
        <v>1073</v>
      </c>
      <c r="E1032">
        <v>0</v>
      </c>
    </row>
    <row r="1033" spans="2:5" x14ac:dyDescent="0.25">
      <c r="B1033" t="s">
        <v>1071</v>
      </c>
      <c r="C1033" t="s">
        <v>1104</v>
      </c>
      <c r="D1033" t="s">
        <v>1105</v>
      </c>
      <c r="E1033">
        <v>0</v>
      </c>
    </row>
    <row r="1034" spans="2:5" x14ac:dyDescent="0.25">
      <c r="B1034" t="s">
        <v>1071</v>
      </c>
      <c r="C1034" t="s">
        <v>1104</v>
      </c>
      <c r="D1034" t="s">
        <v>1105</v>
      </c>
      <c r="E1034">
        <v>0</v>
      </c>
    </row>
    <row r="1035" spans="2:5" x14ac:dyDescent="0.25">
      <c r="B1035" t="s">
        <v>1071</v>
      </c>
      <c r="C1035" t="s">
        <v>1104</v>
      </c>
      <c r="D1035" t="s">
        <v>1105</v>
      </c>
      <c r="E1035">
        <v>0</v>
      </c>
    </row>
    <row r="1036" spans="2:5" x14ac:dyDescent="0.25">
      <c r="B1036" t="s">
        <v>125</v>
      </c>
      <c r="C1036" t="s">
        <v>710</v>
      </c>
      <c r="D1036" t="s">
        <v>711</v>
      </c>
      <c r="E1036">
        <v>0</v>
      </c>
    </row>
    <row r="1037" spans="2:5" x14ac:dyDescent="0.25">
      <c r="B1037" t="s">
        <v>275</v>
      </c>
      <c r="C1037" t="s">
        <v>1396</v>
      </c>
      <c r="D1037" t="s">
        <v>1397</v>
      </c>
      <c r="E1037">
        <v>6</v>
      </c>
    </row>
    <row r="1038" spans="2:5" x14ac:dyDescent="0.25">
      <c r="B1038" t="s">
        <v>164</v>
      </c>
      <c r="C1038" t="s">
        <v>718</v>
      </c>
      <c r="D1038" t="s">
        <v>719</v>
      </c>
      <c r="E1038">
        <v>56</v>
      </c>
    </row>
    <row r="1039" spans="2:5" x14ac:dyDescent="0.25">
      <c r="B1039" t="s">
        <v>164</v>
      </c>
      <c r="C1039" t="s">
        <v>718</v>
      </c>
      <c r="D1039" t="s">
        <v>719</v>
      </c>
      <c r="E1039">
        <v>0</v>
      </c>
    </row>
    <row r="1040" spans="2:5" x14ac:dyDescent="0.25">
      <c r="B1040" t="s">
        <v>164</v>
      </c>
      <c r="C1040" t="s">
        <v>1398</v>
      </c>
      <c r="D1040" t="s">
        <v>1399</v>
      </c>
      <c r="E1040">
        <v>20</v>
      </c>
    </row>
    <row r="1041" spans="2:5" x14ac:dyDescent="0.25">
      <c r="B1041" t="s">
        <v>164</v>
      </c>
      <c r="C1041" t="s">
        <v>1398</v>
      </c>
      <c r="D1041" t="s">
        <v>1399</v>
      </c>
      <c r="E1041">
        <v>0</v>
      </c>
    </row>
    <row r="1042" spans="2:5" x14ac:dyDescent="0.25">
      <c r="B1042" t="s">
        <v>203</v>
      </c>
      <c r="C1042" t="s">
        <v>1400</v>
      </c>
      <c r="D1042" t="s">
        <v>1401</v>
      </c>
      <c r="E1042">
        <v>0</v>
      </c>
    </row>
    <row r="1043" spans="2:5" x14ac:dyDescent="0.25">
      <c r="B1043" t="s">
        <v>203</v>
      </c>
      <c r="C1043" t="s">
        <v>1400</v>
      </c>
      <c r="D1043" t="s">
        <v>1401</v>
      </c>
      <c r="E1043">
        <v>0</v>
      </c>
    </row>
    <row r="1044" spans="2:5" x14ac:dyDescent="0.25">
      <c r="B1044" t="s">
        <v>203</v>
      </c>
      <c r="C1044" t="s">
        <v>1400</v>
      </c>
      <c r="D1044" t="s">
        <v>1401</v>
      </c>
      <c r="E1044">
        <v>0</v>
      </c>
    </row>
    <row r="1045" spans="2:5" x14ac:dyDescent="0.25">
      <c r="B1045" t="s">
        <v>203</v>
      </c>
      <c r="C1045" t="s">
        <v>1402</v>
      </c>
      <c r="D1045" t="s">
        <v>1403</v>
      </c>
      <c r="E1045">
        <v>0</v>
      </c>
    </row>
    <row r="1046" spans="2:5" x14ac:dyDescent="0.25">
      <c r="B1046" t="s">
        <v>203</v>
      </c>
      <c r="C1046" t="s">
        <v>1402</v>
      </c>
      <c r="D1046" t="s">
        <v>1403</v>
      </c>
      <c r="E1046">
        <v>0</v>
      </c>
    </row>
    <row r="1047" spans="2:5" x14ac:dyDescent="0.25">
      <c r="B1047" t="s">
        <v>203</v>
      </c>
      <c r="C1047" t="s">
        <v>1404</v>
      </c>
      <c r="D1047" t="s">
        <v>1405</v>
      </c>
      <c r="E1047">
        <v>980</v>
      </c>
    </row>
    <row r="1048" spans="2:5" x14ac:dyDescent="0.25">
      <c r="B1048" t="s">
        <v>203</v>
      </c>
      <c r="C1048" t="s">
        <v>1404</v>
      </c>
      <c r="D1048" t="s">
        <v>1405</v>
      </c>
      <c r="E1048">
        <v>0</v>
      </c>
    </row>
    <row r="1049" spans="2:5" x14ac:dyDescent="0.25">
      <c r="B1049" t="s">
        <v>91</v>
      </c>
      <c r="C1049" t="s">
        <v>1406</v>
      </c>
      <c r="D1049" t="s">
        <v>1407</v>
      </c>
      <c r="E1049">
        <v>0</v>
      </c>
    </row>
    <row r="1050" spans="2:5" x14ac:dyDescent="0.25">
      <c r="B1050" t="s">
        <v>55</v>
      </c>
      <c r="C1050" t="s">
        <v>1408</v>
      </c>
      <c r="D1050" t="s">
        <v>1409</v>
      </c>
      <c r="E1050">
        <v>0</v>
      </c>
    </row>
    <row r="1051" spans="2:5" x14ac:dyDescent="0.25">
      <c r="B1051" t="s">
        <v>763</v>
      </c>
      <c r="C1051" t="s">
        <v>1410</v>
      </c>
      <c r="D1051" t="s">
        <v>1411</v>
      </c>
      <c r="E1051">
        <v>10</v>
      </c>
    </row>
    <row r="1052" spans="2:5" x14ac:dyDescent="0.25">
      <c r="B1052" t="s">
        <v>763</v>
      </c>
      <c r="C1052" t="s">
        <v>1410</v>
      </c>
      <c r="D1052" t="s">
        <v>1411</v>
      </c>
      <c r="E1052">
        <v>0</v>
      </c>
    </row>
    <row r="1053" spans="2:5" x14ac:dyDescent="0.25">
      <c r="B1053" t="s">
        <v>8</v>
      </c>
      <c r="C1053" t="s">
        <v>605</v>
      </c>
      <c r="D1053" t="s">
        <v>606</v>
      </c>
      <c r="E1053">
        <v>31240</v>
      </c>
    </row>
    <row r="1054" spans="2:5" x14ac:dyDescent="0.25">
      <c r="B1054" t="s">
        <v>73</v>
      </c>
      <c r="C1054" t="s">
        <v>235</v>
      </c>
      <c r="D1054" t="s">
        <v>236</v>
      </c>
      <c r="E1054">
        <v>0</v>
      </c>
    </row>
    <row r="1055" spans="2:5" x14ac:dyDescent="0.25">
      <c r="B1055" t="s">
        <v>73</v>
      </c>
      <c r="C1055" t="s">
        <v>809</v>
      </c>
      <c r="D1055" t="s">
        <v>810</v>
      </c>
      <c r="E1055">
        <v>0</v>
      </c>
    </row>
    <row r="1056" spans="2:5" x14ac:dyDescent="0.25">
      <c r="B1056" t="s">
        <v>73</v>
      </c>
      <c r="C1056" t="s">
        <v>809</v>
      </c>
      <c r="D1056" t="s">
        <v>810</v>
      </c>
      <c r="E1056">
        <v>0</v>
      </c>
    </row>
    <row r="1057" spans="2:5" x14ac:dyDescent="0.25">
      <c r="B1057" t="s">
        <v>161</v>
      </c>
      <c r="C1057" t="s">
        <v>162</v>
      </c>
      <c r="D1057" t="s">
        <v>163</v>
      </c>
      <c r="E1057">
        <v>0</v>
      </c>
    </row>
    <row r="1058" spans="2:5" x14ac:dyDescent="0.25">
      <c r="B1058" t="s">
        <v>164</v>
      </c>
      <c r="C1058" t="s">
        <v>169</v>
      </c>
      <c r="D1058" t="s">
        <v>170</v>
      </c>
      <c r="E1058">
        <v>0</v>
      </c>
    </row>
    <row r="1059" spans="2:5" x14ac:dyDescent="0.25">
      <c r="B1059" t="s">
        <v>269</v>
      </c>
      <c r="C1059" t="s">
        <v>270</v>
      </c>
      <c r="D1059" t="s">
        <v>271</v>
      </c>
      <c r="E1059">
        <v>4650</v>
      </c>
    </row>
    <row r="1060" spans="2:5" x14ac:dyDescent="0.25">
      <c r="B1060" t="s">
        <v>770</v>
      </c>
      <c r="C1060" t="s">
        <v>771</v>
      </c>
      <c r="D1060" t="s">
        <v>772</v>
      </c>
      <c r="E1060">
        <v>1320</v>
      </c>
    </row>
    <row r="1061" spans="2:5" x14ac:dyDescent="0.25">
      <c r="B1061" t="s">
        <v>83</v>
      </c>
      <c r="C1061" t="s">
        <v>811</v>
      </c>
      <c r="D1061" t="s">
        <v>812</v>
      </c>
      <c r="E1061">
        <v>0</v>
      </c>
    </row>
    <row r="1062" spans="2:5" x14ac:dyDescent="0.25">
      <c r="B1062" t="s">
        <v>623</v>
      </c>
      <c r="C1062" t="s">
        <v>813</v>
      </c>
      <c r="D1062" t="s">
        <v>814</v>
      </c>
      <c r="E1062">
        <v>78</v>
      </c>
    </row>
    <row r="1063" spans="2:5" x14ac:dyDescent="0.25">
      <c r="B1063" t="s">
        <v>623</v>
      </c>
      <c r="C1063" t="s">
        <v>813</v>
      </c>
      <c r="D1063" t="s">
        <v>814</v>
      </c>
      <c r="E1063">
        <v>0</v>
      </c>
    </row>
    <row r="1064" spans="2:5" x14ac:dyDescent="0.25">
      <c r="B1064" t="s">
        <v>52</v>
      </c>
      <c r="C1064" t="s">
        <v>815</v>
      </c>
      <c r="D1064" t="s">
        <v>816</v>
      </c>
      <c r="E1064">
        <v>19000</v>
      </c>
    </row>
    <row r="1065" spans="2:5" x14ac:dyDescent="0.25">
      <c r="B1065" t="s">
        <v>52</v>
      </c>
      <c r="C1065" t="s">
        <v>815</v>
      </c>
      <c r="D1065" t="s">
        <v>816</v>
      </c>
      <c r="E1065">
        <v>0</v>
      </c>
    </row>
    <row r="1066" spans="2:5" x14ac:dyDescent="0.25">
      <c r="B1066" t="s">
        <v>52</v>
      </c>
      <c r="C1066" t="s">
        <v>817</v>
      </c>
      <c r="D1066" t="s">
        <v>818</v>
      </c>
      <c r="E1066">
        <v>0</v>
      </c>
    </row>
    <row r="1067" spans="2:5" x14ac:dyDescent="0.25">
      <c r="B1067" t="s">
        <v>52</v>
      </c>
      <c r="C1067" t="s">
        <v>244</v>
      </c>
      <c r="D1067" t="s">
        <v>245</v>
      </c>
      <c r="E1067">
        <v>0</v>
      </c>
    </row>
    <row r="1068" spans="2:5" x14ac:dyDescent="0.25">
      <c r="B1068" t="s">
        <v>52</v>
      </c>
      <c r="C1068" t="s">
        <v>819</v>
      </c>
      <c r="D1068" t="s">
        <v>820</v>
      </c>
      <c r="E1068">
        <v>115</v>
      </c>
    </row>
    <row r="1069" spans="2:5" x14ac:dyDescent="0.25">
      <c r="B1069" t="s">
        <v>52</v>
      </c>
      <c r="C1069" t="s">
        <v>819</v>
      </c>
      <c r="D1069" t="s">
        <v>820</v>
      </c>
      <c r="E1069">
        <v>0</v>
      </c>
    </row>
    <row r="1070" spans="2:5" x14ac:dyDescent="0.25">
      <c r="B1070" t="s">
        <v>521</v>
      </c>
      <c r="C1070" t="s">
        <v>821</v>
      </c>
      <c r="D1070" t="s">
        <v>822</v>
      </c>
      <c r="E1070">
        <v>220</v>
      </c>
    </row>
    <row r="1071" spans="2:5" x14ac:dyDescent="0.25">
      <c r="B1071" t="s">
        <v>521</v>
      </c>
      <c r="C1071" t="s">
        <v>821</v>
      </c>
      <c r="D1071" t="s">
        <v>822</v>
      </c>
      <c r="E1071">
        <v>0</v>
      </c>
    </row>
    <row r="1072" spans="2:5" x14ac:dyDescent="0.25">
      <c r="B1072" t="s">
        <v>521</v>
      </c>
      <c r="C1072" t="s">
        <v>821</v>
      </c>
      <c r="D1072" t="s">
        <v>822</v>
      </c>
      <c r="E1072">
        <v>0</v>
      </c>
    </row>
    <row r="1073" spans="2:5" x14ac:dyDescent="0.25">
      <c r="B1073" t="s">
        <v>125</v>
      </c>
      <c r="C1073" t="s">
        <v>126</v>
      </c>
      <c r="D1073" t="s">
        <v>127</v>
      </c>
      <c r="E1073">
        <v>0</v>
      </c>
    </row>
    <row r="1074" spans="2:5" x14ac:dyDescent="0.25">
      <c r="B1074" t="s">
        <v>125</v>
      </c>
      <c r="C1074" t="s">
        <v>126</v>
      </c>
      <c r="D1074" t="s">
        <v>127</v>
      </c>
      <c r="E1074">
        <v>0</v>
      </c>
    </row>
    <row r="1075" spans="2:5" x14ac:dyDescent="0.25">
      <c r="B1075" t="s">
        <v>125</v>
      </c>
      <c r="C1075" t="s">
        <v>126</v>
      </c>
      <c r="D1075" t="s">
        <v>127</v>
      </c>
      <c r="E1075">
        <v>0</v>
      </c>
    </row>
    <row r="1076" spans="2:5" x14ac:dyDescent="0.25">
      <c r="B1076" t="s">
        <v>275</v>
      </c>
      <c r="C1076" t="s">
        <v>276</v>
      </c>
      <c r="D1076" t="s">
        <v>277</v>
      </c>
      <c r="E1076">
        <v>30</v>
      </c>
    </row>
    <row r="1077" spans="2:5" x14ac:dyDescent="0.25">
      <c r="B1077" t="s">
        <v>164</v>
      </c>
      <c r="C1077" t="s">
        <v>165</v>
      </c>
      <c r="D1077" t="s">
        <v>166</v>
      </c>
      <c r="E1077">
        <v>186</v>
      </c>
    </row>
    <row r="1078" spans="2:5" x14ac:dyDescent="0.25">
      <c r="B1078" t="s">
        <v>164</v>
      </c>
      <c r="C1078" t="s">
        <v>823</v>
      </c>
      <c r="D1078" t="s">
        <v>824</v>
      </c>
      <c r="E1078">
        <v>0</v>
      </c>
    </row>
    <row r="1079" spans="2:5" x14ac:dyDescent="0.25">
      <c r="B1079" t="s">
        <v>164</v>
      </c>
      <c r="C1079" t="s">
        <v>823</v>
      </c>
      <c r="D1079" t="s">
        <v>824</v>
      </c>
      <c r="E1079">
        <v>0</v>
      </c>
    </row>
    <row r="1080" spans="2:5" x14ac:dyDescent="0.25">
      <c r="B1080" t="s">
        <v>203</v>
      </c>
      <c r="C1080" t="s">
        <v>825</v>
      </c>
      <c r="D1080" t="s">
        <v>826</v>
      </c>
      <c r="E1080">
        <v>0</v>
      </c>
    </row>
    <row r="1081" spans="2:5" x14ac:dyDescent="0.25">
      <c r="B1081" t="s">
        <v>161</v>
      </c>
      <c r="C1081" t="s">
        <v>827</v>
      </c>
      <c r="D1081" t="s">
        <v>828</v>
      </c>
      <c r="E1081">
        <v>0</v>
      </c>
    </row>
    <row r="1082" spans="2:5" x14ac:dyDescent="0.25">
      <c r="B1082" t="s">
        <v>91</v>
      </c>
      <c r="C1082" t="s">
        <v>829</v>
      </c>
      <c r="D1082" t="s">
        <v>830</v>
      </c>
      <c r="E1082">
        <v>0</v>
      </c>
    </row>
    <row r="1083" spans="2:5" x14ac:dyDescent="0.25">
      <c r="B1083" t="s">
        <v>91</v>
      </c>
      <c r="C1083" t="s">
        <v>829</v>
      </c>
      <c r="D1083" t="s">
        <v>830</v>
      </c>
      <c r="E1083">
        <v>0</v>
      </c>
    </row>
    <row r="1084" spans="2:5" x14ac:dyDescent="0.25">
      <c r="B1084" t="s">
        <v>91</v>
      </c>
      <c r="C1084" t="s">
        <v>829</v>
      </c>
      <c r="D1084" t="s">
        <v>830</v>
      </c>
      <c r="E1084">
        <v>0</v>
      </c>
    </row>
    <row r="1085" spans="2:5" x14ac:dyDescent="0.25">
      <c r="B1085" t="s">
        <v>831</v>
      </c>
      <c r="C1085" t="s">
        <v>832</v>
      </c>
      <c r="D1085" t="s">
        <v>833</v>
      </c>
      <c r="E1085">
        <v>0</v>
      </c>
    </row>
    <row r="1086" spans="2:5" x14ac:dyDescent="0.25">
      <c r="B1086" t="s">
        <v>8</v>
      </c>
      <c r="C1086" t="s">
        <v>171</v>
      </c>
      <c r="D1086" t="s">
        <v>172</v>
      </c>
      <c r="E1086">
        <v>0</v>
      </c>
    </row>
    <row r="1087" spans="2:5" x14ac:dyDescent="0.25">
      <c r="B1087" t="s">
        <v>217</v>
      </c>
      <c r="C1087" t="s">
        <v>1287</v>
      </c>
      <c r="D1087" t="s">
        <v>1288</v>
      </c>
      <c r="E1087">
        <v>180</v>
      </c>
    </row>
    <row r="1088" spans="2:5" x14ac:dyDescent="0.25">
      <c r="B1088" t="s">
        <v>217</v>
      </c>
      <c r="C1088" t="s">
        <v>1287</v>
      </c>
      <c r="D1088" t="s">
        <v>1288</v>
      </c>
      <c r="E1088">
        <v>0</v>
      </c>
    </row>
    <row r="1089" spans="2:5" x14ac:dyDescent="0.25">
      <c r="B1089" t="s">
        <v>217</v>
      </c>
      <c r="C1089" t="s">
        <v>1289</v>
      </c>
      <c r="D1089" t="s">
        <v>1290</v>
      </c>
      <c r="E1089">
        <v>550</v>
      </c>
    </row>
    <row r="1090" spans="2:5" x14ac:dyDescent="0.25">
      <c r="B1090" t="s">
        <v>58</v>
      </c>
      <c r="C1090" t="s">
        <v>1291</v>
      </c>
      <c r="D1090" t="s">
        <v>1292</v>
      </c>
      <c r="E1090">
        <v>0</v>
      </c>
    </row>
    <row r="1091" spans="2:5" x14ac:dyDescent="0.25">
      <c r="B1091" t="s">
        <v>145</v>
      </c>
      <c r="C1091" t="s">
        <v>1293</v>
      </c>
      <c r="D1091" t="s">
        <v>1294</v>
      </c>
      <c r="E1091">
        <v>50</v>
      </c>
    </row>
    <row r="1092" spans="2:5" x14ac:dyDescent="0.25">
      <c r="B1092" t="s">
        <v>145</v>
      </c>
      <c r="C1092" t="s">
        <v>1293</v>
      </c>
      <c r="D1092" t="s">
        <v>1294</v>
      </c>
      <c r="E1092">
        <v>0</v>
      </c>
    </row>
    <row r="1093" spans="2:5" x14ac:dyDescent="0.25">
      <c r="B1093" t="s">
        <v>377</v>
      </c>
      <c r="C1093" t="s">
        <v>969</v>
      </c>
      <c r="D1093" t="s">
        <v>970</v>
      </c>
      <c r="E1093">
        <v>0</v>
      </c>
    </row>
    <row r="1094" spans="2:5" x14ac:dyDescent="0.25">
      <c r="B1094" t="s">
        <v>61</v>
      </c>
      <c r="C1094" t="s">
        <v>1295</v>
      </c>
      <c r="D1094" t="s">
        <v>1296</v>
      </c>
      <c r="E1094">
        <v>0</v>
      </c>
    </row>
    <row r="1095" spans="2:5" x14ac:dyDescent="0.25">
      <c r="B1095" t="s">
        <v>61</v>
      </c>
      <c r="C1095" t="s">
        <v>1297</v>
      </c>
      <c r="D1095" t="s">
        <v>1298</v>
      </c>
      <c r="E1095">
        <v>0</v>
      </c>
    </row>
    <row r="1096" spans="2:5" x14ac:dyDescent="0.25">
      <c r="B1096" t="s">
        <v>61</v>
      </c>
      <c r="C1096" t="s">
        <v>1299</v>
      </c>
      <c r="D1096" t="s">
        <v>1300</v>
      </c>
      <c r="E1096">
        <v>0</v>
      </c>
    </row>
    <row r="1097" spans="2:5" x14ac:dyDescent="0.25">
      <c r="B1097" t="s">
        <v>61</v>
      </c>
      <c r="C1097" t="s">
        <v>1299</v>
      </c>
      <c r="D1097" t="s">
        <v>1300</v>
      </c>
      <c r="E1097">
        <v>0</v>
      </c>
    </row>
    <row r="1098" spans="2:5" x14ac:dyDescent="0.25">
      <c r="B1098" t="s">
        <v>978</v>
      </c>
      <c r="C1098" t="s">
        <v>979</v>
      </c>
      <c r="D1098" t="s">
        <v>980</v>
      </c>
      <c r="E1098">
        <v>0</v>
      </c>
    </row>
    <row r="1099" spans="2:5" x14ac:dyDescent="0.25">
      <c r="B1099" t="s">
        <v>217</v>
      </c>
      <c r="C1099" t="s">
        <v>1301</v>
      </c>
      <c r="D1099" t="s">
        <v>1302</v>
      </c>
      <c r="E1099">
        <v>0</v>
      </c>
    </row>
    <row r="1100" spans="2:5" x14ac:dyDescent="0.25">
      <c r="B1100" t="s">
        <v>217</v>
      </c>
      <c r="C1100" t="s">
        <v>1303</v>
      </c>
      <c r="D1100" t="s">
        <v>1304</v>
      </c>
      <c r="E1100">
        <v>0</v>
      </c>
    </row>
    <row r="1101" spans="2:5" x14ac:dyDescent="0.25">
      <c r="B1101" t="s">
        <v>343</v>
      </c>
      <c r="C1101" t="s">
        <v>468</v>
      </c>
      <c r="D1101" t="s">
        <v>469</v>
      </c>
      <c r="E1101">
        <v>402</v>
      </c>
    </row>
    <row r="1102" spans="2:5" x14ac:dyDescent="0.25">
      <c r="B1102" t="s">
        <v>67</v>
      </c>
      <c r="C1102" t="s">
        <v>466</v>
      </c>
      <c r="D1102" t="s">
        <v>467</v>
      </c>
      <c r="E1102">
        <v>0</v>
      </c>
    </row>
    <row r="1103" spans="2:5" x14ac:dyDescent="0.25">
      <c r="B1103" t="s">
        <v>61</v>
      </c>
      <c r="C1103" t="s">
        <v>1305</v>
      </c>
      <c r="D1103" t="s">
        <v>1306</v>
      </c>
      <c r="E1103">
        <v>0</v>
      </c>
    </row>
    <row r="1104" spans="2:5" x14ac:dyDescent="0.25">
      <c r="B1104" t="s">
        <v>978</v>
      </c>
      <c r="C1104" t="s">
        <v>979</v>
      </c>
      <c r="D1104" t="s">
        <v>980</v>
      </c>
      <c r="E1104">
        <v>0</v>
      </c>
    </row>
    <row r="1105" spans="2:5" x14ac:dyDescent="0.25">
      <c r="B1105" t="s">
        <v>804</v>
      </c>
      <c r="C1105" t="s">
        <v>1307</v>
      </c>
      <c r="D1105" t="s">
        <v>1308</v>
      </c>
      <c r="E1105">
        <v>0</v>
      </c>
    </row>
    <row r="1106" spans="2:5" x14ac:dyDescent="0.25">
      <c r="B1106" t="s">
        <v>73</v>
      </c>
      <c r="C1106" t="s">
        <v>1309</v>
      </c>
      <c r="D1106" t="s">
        <v>1310</v>
      </c>
      <c r="E1106">
        <v>0</v>
      </c>
    </row>
    <row r="1107" spans="2:5" x14ac:dyDescent="0.25">
      <c r="B1107" t="s">
        <v>73</v>
      </c>
      <c r="C1107" t="s">
        <v>1311</v>
      </c>
      <c r="D1107" t="s">
        <v>1312</v>
      </c>
      <c r="E1107">
        <v>132</v>
      </c>
    </row>
    <row r="1108" spans="2:5" x14ac:dyDescent="0.25">
      <c r="B1108" t="s">
        <v>73</v>
      </c>
      <c r="C1108" t="s">
        <v>1311</v>
      </c>
      <c r="D1108" t="s">
        <v>1312</v>
      </c>
      <c r="E1108">
        <v>0</v>
      </c>
    </row>
    <row r="1109" spans="2:5" x14ac:dyDescent="0.25">
      <c r="B1109" t="s">
        <v>237</v>
      </c>
      <c r="C1109" t="s">
        <v>596</v>
      </c>
      <c r="D1109" t="s">
        <v>597</v>
      </c>
      <c r="E1109">
        <v>700</v>
      </c>
    </row>
    <row r="1110" spans="2:5" x14ac:dyDescent="0.25">
      <c r="B1110" t="s">
        <v>237</v>
      </c>
      <c r="C1110" t="s">
        <v>596</v>
      </c>
      <c r="D1110" t="s">
        <v>597</v>
      </c>
      <c r="E1110">
        <v>60</v>
      </c>
    </row>
    <row r="1111" spans="2:5" x14ac:dyDescent="0.25">
      <c r="B1111" t="s">
        <v>1313</v>
      </c>
      <c r="C1111" t="s">
        <v>1314</v>
      </c>
      <c r="D1111" t="s">
        <v>1315</v>
      </c>
      <c r="E1111">
        <v>0</v>
      </c>
    </row>
    <row r="1112" spans="2:5" x14ac:dyDescent="0.25">
      <c r="B1112" t="s">
        <v>1313</v>
      </c>
      <c r="C1112" t="s">
        <v>1316</v>
      </c>
      <c r="D1112" t="s">
        <v>1317</v>
      </c>
      <c r="E1112">
        <v>0</v>
      </c>
    </row>
    <row r="1113" spans="2:5" x14ac:dyDescent="0.25">
      <c r="B1113" t="s">
        <v>1313</v>
      </c>
      <c r="C1113" t="s">
        <v>1318</v>
      </c>
      <c r="D1113" t="s">
        <v>1319</v>
      </c>
      <c r="E1113">
        <v>80</v>
      </c>
    </row>
    <row r="1114" spans="2:5" x14ac:dyDescent="0.25">
      <c r="B1114" t="s">
        <v>352</v>
      </c>
      <c r="C1114" t="s">
        <v>1320</v>
      </c>
      <c r="D1114" t="s">
        <v>1321</v>
      </c>
      <c r="E1114">
        <v>110</v>
      </c>
    </row>
    <row r="1115" spans="2:5" x14ac:dyDescent="0.25">
      <c r="B1115" t="s">
        <v>352</v>
      </c>
      <c r="C1115" t="s">
        <v>1320</v>
      </c>
      <c r="D1115" t="s">
        <v>1321</v>
      </c>
      <c r="E1115">
        <v>0</v>
      </c>
    </row>
    <row r="1116" spans="2:5" x14ac:dyDescent="0.25">
      <c r="B1116" t="s">
        <v>11</v>
      </c>
      <c r="C1116" t="s">
        <v>1322</v>
      </c>
      <c r="D1116" t="s">
        <v>1323</v>
      </c>
      <c r="E1116">
        <v>2620</v>
      </c>
    </row>
    <row r="1117" spans="2:5" x14ac:dyDescent="0.25">
      <c r="B1117" t="s">
        <v>11</v>
      </c>
      <c r="C1117" t="s">
        <v>1324</v>
      </c>
      <c r="D1117" t="s">
        <v>1325</v>
      </c>
      <c r="E1117">
        <v>5</v>
      </c>
    </row>
    <row r="1118" spans="2:5" x14ac:dyDescent="0.25">
      <c r="B1118" t="s">
        <v>11</v>
      </c>
      <c r="C1118" t="s">
        <v>1324</v>
      </c>
      <c r="D1118" t="s">
        <v>1325</v>
      </c>
      <c r="E1118">
        <v>0</v>
      </c>
    </row>
    <row r="1119" spans="2:5" x14ac:dyDescent="0.25">
      <c r="B1119" t="s">
        <v>11</v>
      </c>
      <c r="C1119" t="s">
        <v>1326</v>
      </c>
      <c r="D1119" t="s">
        <v>1327</v>
      </c>
      <c r="E1119">
        <v>32720</v>
      </c>
    </row>
    <row r="1120" spans="2:5" x14ac:dyDescent="0.25">
      <c r="B1120" t="s">
        <v>11</v>
      </c>
      <c r="C1120" t="s">
        <v>1326</v>
      </c>
      <c r="D1120" t="s">
        <v>1327</v>
      </c>
      <c r="E1120">
        <v>1420</v>
      </c>
    </row>
    <row r="1121" spans="2:5" x14ac:dyDescent="0.25">
      <c r="B1121" t="s">
        <v>11</v>
      </c>
      <c r="C1121" t="s">
        <v>1326</v>
      </c>
      <c r="D1121" t="s">
        <v>1327</v>
      </c>
      <c r="E1121">
        <v>0</v>
      </c>
    </row>
    <row r="1122" spans="2:5" x14ac:dyDescent="0.25">
      <c r="B1122" t="s">
        <v>770</v>
      </c>
      <c r="C1122" t="s">
        <v>1328</v>
      </c>
      <c r="D1122" t="s">
        <v>1329</v>
      </c>
      <c r="E1122">
        <v>2290</v>
      </c>
    </row>
    <row r="1123" spans="2:5" x14ac:dyDescent="0.25">
      <c r="B1123" t="s">
        <v>83</v>
      </c>
      <c r="C1123" t="s">
        <v>993</v>
      </c>
      <c r="D1123" t="s">
        <v>994</v>
      </c>
      <c r="E1123">
        <v>0</v>
      </c>
    </row>
    <row r="1124" spans="2:5" x14ac:dyDescent="0.25">
      <c r="B1124" t="s">
        <v>52</v>
      </c>
      <c r="C1124" t="s">
        <v>1330</v>
      </c>
      <c r="D1124" t="s">
        <v>1331</v>
      </c>
      <c r="E1124">
        <v>0</v>
      </c>
    </row>
    <row r="1125" spans="2:5" x14ac:dyDescent="0.25">
      <c r="B1125" t="s">
        <v>518</v>
      </c>
      <c r="C1125" t="s">
        <v>519</v>
      </c>
      <c r="D1125" t="s">
        <v>520</v>
      </c>
      <c r="E1125">
        <v>0</v>
      </c>
    </row>
    <row r="1126" spans="2:5" x14ac:dyDescent="0.25">
      <c r="B1126" t="s">
        <v>518</v>
      </c>
      <c r="C1126" t="s">
        <v>1332</v>
      </c>
      <c r="D1126" t="s">
        <v>1333</v>
      </c>
      <c r="E1126">
        <v>520</v>
      </c>
    </row>
    <row r="1127" spans="2:5" x14ac:dyDescent="0.25">
      <c r="B1127" t="s">
        <v>164</v>
      </c>
      <c r="C1127" t="s">
        <v>1266</v>
      </c>
      <c r="D1127" t="s">
        <v>1267</v>
      </c>
      <c r="E1127">
        <v>0</v>
      </c>
    </row>
    <row r="1128" spans="2:5" x14ac:dyDescent="0.25">
      <c r="B1128" t="s">
        <v>164</v>
      </c>
      <c r="C1128" t="s">
        <v>1266</v>
      </c>
      <c r="D1128" t="s">
        <v>1267</v>
      </c>
      <c r="E1128">
        <v>0</v>
      </c>
    </row>
    <row r="1129" spans="2:5" x14ac:dyDescent="0.25">
      <c r="B1129" t="s">
        <v>203</v>
      </c>
      <c r="C1129" t="s">
        <v>963</v>
      </c>
      <c r="D1129" t="s">
        <v>964</v>
      </c>
      <c r="E1129">
        <v>0</v>
      </c>
    </row>
    <row r="1130" spans="2:5" x14ac:dyDescent="0.25">
      <c r="B1130" t="s">
        <v>203</v>
      </c>
      <c r="C1130" t="s">
        <v>963</v>
      </c>
      <c r="D1130" t="s">
        <v>964</v>
      </c>
      <c r="E1130">
        <v>0</v>
      </c>
    </row>
    <row r="1131" spans="2:5" x14ac:dyDescent="0.25">
      <c r="B1131" t="s">
        <v>203</v>
      </c>
      <c r="C1131" t="s">
        <v>1334</v>
      </c>
      <c r="D1131" t="s">
        <v>1335</v>
      </c>
      <c r="E1131">
        <v>0</v>
      </c>
    </row>
    <row r="1132" spans="2:5" x14ac:dyDescent="0.25">
      <c r="B1132" t="s">
        <v>161</v>
      </c>
      <c r="C1132" t="s">
        <v>1336</v>
      </c>
      <c r="D1132" t="s">
        <v>1337</v>
      </c>
      <c r="E1132">
        <v>1660</v>
      </c>
    </row>
    <row r="1133" spans="2:5" x14ac:dyDescent="0.25">
      <c r="B1133" t="s">
        <v>161</v>
      </c>
      <c r="C1133" t="s">
        <v>1336</v>
      </c>
      <c r="D1133" t="s">
        <v>1337</v>
      </c>
      <c r="E1133">
        <v>0</v>
      </c>
    </row>
    <row r="1134" spans="2:5" x14ac:dyDescent="0.25">
      <c r="B1134" t="s">
        <v>206</v>
      </c>
      <c r="C1134" t="s">
        <v>1338</v>
      </c>
      <c r="D1134" t="s">
        <v>1339</v>
      </c>
      <c r="E1134">
        <v>0</v>
      </c>
    </row>
    <row r="1135" spans="2:5" x14ac:dyDescent="0.25">
      <c r="B1135" t="s">
        <v>206</v>
      </c>
      <c r="C1135" t="s">
        <v>1338</v>
      </c>
      <c r="D1135" t="s">
        <v>1339</v>
      </c>
      <c r="E1135">
        <v>0</v>
      </c>
    </row>
    <row r="1136" spans="2:5" x14ac:dyDescent="0.25">
      <c r="B1136" t="s">
        <v>8</v>
      </c>
      <c r="C1136" t="s">
        <v>1340</v>
      </c>
      <c r="D1136" t="s">
        <v>1341</v>
      </c>
      <c r="E1136">
        <v>15</v>
      </c>
    </row>
    <row r="1137" spans="2:5" x14ac:dyDescent="0.25">
      <c r="B1137" t="s">
        <v>8</v>
      </c>
      <c r="C1137" t="s">
        <v>1340</v>
      </c>
      <c r="D1137" t="s">
        <v>1341</v>
      </c>
      <c r="E1137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69"/>
  <sheetViews>
    <sheetView workbookViewId="0">
      <selection activeCell="B3" sqref="B3:D13"/>
    </sheetView>
  </sheetViews>
  <sheetFormatPr defaultRowHeight="15" x14ac:dyDescent="0.25"/>
  <cols>
    <col min="2" max="2" width="16.7109375" bestFit="1" customWidth="1"/>
    <col min="3" max="3" width="14.5703125" bestFit="1" customWidth="1"/>
    <col min="4" max="4" width="32.85546875" bestFit="1" customWidth="1"/>
    <col min="5" max="5" width="9.85546875" bestFit="1" customWidth="1"/>
  </cols>
  <sheetData>
    <row r="2" spans="2:5" x14ac:dyDescent="0.25">
      <c r="B2" t="s">
        <v>4</v>
      </c>
      <c r="C2" t="s">
        <v>5</v>
      </c>
      <c r="D2" t="s">
        <v>6</v>
      </c>
      <c r="E2" t="s">
        <v>1558</v>
      </c>
    </row>
    <row r="3" spans="2:5" x14ac:dyDescent="0.25">
      <c r="B3" t="s">
        <v>164</v>
      </c>
      <c r="C3" t="s">
        <v>1266</v>
      </c>
      <c r="D3" t="s">
        <v>1267</v>
      </c>
      <c r="E3">
        <v>0</v>
      </c>
    </row>
    <row r="4" spans="2:5" x14ac:dyDescent="0.25">
      <c r="B4" t="s">
        <v>20</v>
      </c>
      <c r="C4" t="s">
        <v>1268</v>
      </c>
      <c r="D4" t="s">
        <v>1269</v>
      </c>
      <c r="E4">
        <v>0</v>
      </c>
    </row>
    <row r="5" spans="2:5" x14ac:dyDescent="0.25">
      <c r="B5" t="s">
        <v>554</v>
      </c>
      <c r="C5" t="s">
        <v>555</v>
      </c>
      <c r="D5" t="s">
        <v>556</v>
      </c>
      <c r="E5">
        <v>1050</v>
      </c>
    </row>
    <row r="6" spans="2:5" x14ac:dyDescent="0.25">
      <c r="B6" t="s">
        <v>83</v>
      </c>
      <c r="C6" t="s">
        <v>1270</v>
      </c>
      <c r="D6" t="s">
        <v>1271</v>
      </c>
      <c r="E6">
        <v>0</v>
      </c>
    </row>
    <row r="7" spans="2:5" x14ac:dyDescent="0.25">
      <c r="B7" t="s">
        <v>106</v>
      </c>
      <c r="C7" t="s">
        <v>1272</v>
      </c>
      <c r="D7" t="s">
        <v>1273</v>
      </c>
      <c r="E7">
        <v>0</v>
      </c>
    </row>
    <row r="8" spans="2:5" x14ac:dyDescent="0.25">
      <c r="B8" t="s">
        <v>20</v>
      </c>
      <c r="C8" t="s">
        <v>1274</v>
      </c>
      <c r="D8" t="s">
        <v>1275</v>
      </c>
      <c r="E8">
        <v>0</v>
      </c>
    </row>
    <row r="9" spans="2:5" x14ac:dyDescent="0.25">
      <c r="B9" t="s">
        <v>20</v>
      </c>
      <c r="C9" t="s">
        <v>1276</v>
      </c>
      <c r="D9" t="s">
        <v>1277</v>
      </c>
      <c r="E9">
        <v>0</v>
      </c>
    </row>
    <row r="10" spans="2:5" x14ac:dyDescent="0.25">
      <c r="B10" t="s">
        <v>17</v>
      </c>
      <c r="C10" t="s">
        <v>1278</v>
      </c>
      <c r="D10" t="s">
        <v>1279</v>
      </c>
      <c r="E10">
        <v>0</v>
      </c>
    </row>
    <row r="11" spans="2:5" x14ac:dyDescent="0.25">
      <c r="B11" t="s">
        <v>11</v>
      </c>
      <c r="C11" t="s">
        <v>464</v>
      </c>
      <c r="D11" t="s">
        <v>465</v>
      </c>
      <c r="E11">
        <v>0</v>
      </c>
    </row>
    <row r="12" spans="2:5" x14ac:dyDescent="0.25">
      <c r="B12" t="s">
        <v>70</v>
      </c>
      <c r="C12" t="s">
        <v>1280</v>
      </c>
      <c r="D12" t="s">
        <v>1281</v>
      </c>
      <c r="E12">
        <v>0</v>
      </c>
    </row>
    <row r="13" spans="2:5" x14ac:dyDescent="0.25">
      <c r="B13" t="s">
        <v>461</v>
      </c>
      <c r="C13" t="s">
        <v>462</v>
      </c>
      <c r="D13" t="s">
        <v>463</v>
      </c>
      <c r="E13">
        <v>0</v>
      </c>
    </row>
    <row r="14" spans="2:5" x14ac:dyDescent="0.25">
      <c r="B14" t="s">
        <v>14</v>
      </c>
      <c r="C14" t="s">
        <v>482</v>
      </c>
      <c r="D14" t="s">
        <v>483</v>
      </c>
      <c r="E14">
        <v>0</v>
      </c>
    </row>
    <row r="15" spans="2:5" x14ac:dyDescent="0.25">
      <c r="B15" t="s">
        <v>237</v>
      </c>
      <c r="C15" t="s">
        <v>1282</v>
      </c>
      <c r="D15" t="s">
        <v>1283</v>
      </c>
      <c r="E15">
        <v>0</v>
      </c>
    </row>
    <row r="16" spans="2:5" x14ac:dyDescent="0.25">
      <c r="B16" t="s">
        <v>1284</v>
      </c>
      <c r="C16" t="s">
        <v>1285</v>
      </c>
      <c r="D16" t="s">
        <v>1286</v>
      </c>
      <c r="E16">
        <v>0</v>
      </c>
    </row>
    <row r="17" spans="2:5" x14ac:dyDescent="0.25">
      <c r="B17" t="s">
        <v>217</v>
      </c>
      <c r="C17" t="s">
        <v>1287</v>
      </c>
      <c r="D17" t="s">
        <v>1288</v>
      </c>
      <c r="E17">
        <v>5600</v>
      </c>
    </row>
    <row r="18" spans="2:5" x14ac:dyDescent="0.25">
      <c r="B18" t="s">
        <v>217</v>
      </c>
      <c r="C18" t="s">
        <v>1287</v>
      </c>
      <c r="D18" t="s">
        <v>1288</v>
      </c>
      <c r="E18">
        <v>180</v>
      </c>
    </row>
    <row r="19" spans="2:5" x14ac:dyDescent="0.25">
      <c r="B19" t="s">
        <v>217</v>
      </c>
      <c r="C19" t="s">
        <v>1287</v>
      </c>
      <c r="D19" t="s">
        <v>1288</v>
      </c>
      <c r="E19">
        <v>0</v>
      </c>
    </row>
    <row r="20" spans="2:5" x14ac:dyDescent="0.25">
      <c r="B20" t="s">
        <v>217</v>
      </c>
      <c r="C20" t="s">
        <v>1289</v>
      </c>
      <c r="D20" t="s">
        <v>1290</v>
      </c>
      <c r="E20">
        <v>350</v>
      </c>
    </row>
    <row r="21" spans="2:5" x14ac:dyDescent="0.25">
      <c r="B21" t="s">
        <v>58</v>
      </c>
      <c r="C21" t="s">
        <v>1291</v>
      </c>
      <c r="D21" t="s">
        <v>1292</v>
      </c>
      <c r="E21">
        <v>0</v>
      </c>
    </row>
    <row r="22" spans="2:5" x14ac:dyDescent="0.25">
      <c r="B22" t="s">
        <v>145</v>
      </c>
      <c r="C22" t="s">
        <v>1293</v>
      </c>
      <c r="D22" t="s">
        <v>1294</v>
      </c>
      <c r="E22">
        <v>0</v>
      </c>
    </row>
    <row r="23" spans="2:5" x14ac:dyDescent="0.25">
      <c r="B23" t="s">
        <v>145</v>
      </c>
      <c r="C23" t="s">
        <v>1293</v>
      </c>
      <c r="D23" t="s">
        <v>1294</v>
      </c>
      <c r="E23">
        <v>0</v>
      </c>
    </row>
    <row r="24" spans="2:5" x14ac:dyDescent="0.25">
      <c r="B24" t="s">
        <v>377</v>
      </c>
      <c r="C24" t="s">
        <v>969</v>
      </c>
      <c r="D24" t="s">
        <v>970</v>
      </c>
      <c r="E24">
        <v>0</v>
      </c>
    </row>
    <row r="25" spans="2:5" x14ac:dyDescent="0.25">
      <c r="B25" t="s">
        <v>61</v>
      </c>
      <c r="C25" t="s">
        <v>1295</v>
      </c>
      <c r="D25" t="s">
        <v>1296</v>
      </c>
      <c r="E25">
        <v>0</v>
      </c>
    </row>
    <row r="26" spans="2:5" x14ac:dyDescent="0.25">
      <c r="B26" t="s">
        <v>61</v>
      </c>
      <c r="C26" t="s">
        <v>1297</v>
      </c>
      <c r="D26" t="s">
        <v>1298</v>
      </c>
      <c r="E26">
        <v>0</v>
      </c>
    </row>
    <row r="27" spans="2:5" x14ac:dyDescent="0.25">
      <c r="B27" t="s">
        <v>61</v>
      </c>
      <c r="C27" t="s">
        <v>1299</v>
      </c>
      <c r="D27" t="s">
        <v>1300</v>
      </c>
      <c r="E27">
        <v>0</v>
      </c>
    </row>
    <row r="28" spans="2:5" x14ac:dyDescent="0.25">
      <c r="B28" t="s">
        <v>61</v>
      </c>
      <c r="C28" t="s">
        <v>1299</v>
      </c>
      <c r="D28" t="s">
        <v>1300</v>
      </c>
      <c r="E28">
        <v>0</v>
      </c>
    </row>
    <row r="29" spans="2:5" x14ac:dyDescent="0.25">
      <c r="B29" t="s">
        <v>978</v>
      </c>
      <c r="C29" t="s">
        <v>979</v>
      </c>
      <c r="D29" t="s">
        <v>980</v>
      </c>
      <c r="E29">
        <v>0</v>
      </c>
    </row>
    <row r="30" spans="2:5" x14ac:dyDescent="0.25">
      <c r="B30" t="s">
        <v>217</v>
      </c>
      <c r="C30" t="s">
        <v>1301</v>
      </c>
      <c r="D30" t="s">
        <v>1302</v>
      </c>
      <c r="E30">
        <v>0</v>
      </c>
    </row>
    <row r="31" spans="2:5" x14ac:dyDescent="0.25">
      <c r="B31" t="s">
        <v>217</v>
      </c>
      <c r="C31" t="s">
        <v>1303</v>
      </c>
      <c r="D31" t="s">
        <v>1304</v>
      </c>
      <c r="E31">
        <v>0</v>
      </c>
    </row>
    <row r="32" spans="2:5" x14ac:dyDescent="0.25">
      <c r="B32" t="s">
        <v>343</v>
      </c>
      <c r="C32" t="s">
        <v>468</v>
      </c>
      <c r="D32" t="s">
        <v>469</v>
      </c>
      <c r="E32">
        <v>402</v>
      </c>
    </row>
    <row r="33" spans="2:5" x14ac:dyDescent="0.25">
      <c r="B33" t="s">
        <v>67</v>
      </c>
      <c r="C33" t="s">
        <v>466</v>
      </c>
      <c r="D33" t="s">
        <v>467</v>
      </c>
      <c r="E33">
        <v>0</v>
      </c>
    </row>
    <row r="34" spans="2:5" x14ac:dyDescent="0.25">
      <c r="B34" t="s">
        <v>61</v>
      </c>
      <c r="C34" t="s">
        <v>1305</v>
      </c>
      <c r="D34" t="s">
        <v>1306</v>
      </c>
      <c r="E34">
        <v>0</v>
      </c>
    </row>
    <row r="35" spans="2:5" x14ac:dyDescent="0.25">
      <c r="B35" t="s">
        <v>978</v>
      </c>
      <c r="C35" t="s">
        <v>979</v>
      </c>
      <c r="D35" t="s">
        <v>980</v>
      </c>
      <c r="E35">
        <v>0</v>
      </c>
    </row>
    <row r="36" spans="2:5" x14ac:dyDescent="0.25">
      <c r="B36" t="s">
        <v>804</v>
      </c>
      <c r="C36" t="s">
        <v>1307</v>
      </c>
      <c r="D36" t="s">
        <v>1308</v>
      </c>
      <c r="E36">
        <v>0</v>
      </c>
    </row>
    <row r="37" spans="2:5" x14ac:dyDescent="0.25">
      <c r="B37" t="s">
        <v>73</v>
      </c>
      <c r="C37" t="s">
        <v>1309</v>
      </c>
      <c r="D37" t="s">
        <v>1310</v>
      </c>
      <c r="E37">
        <v>0</v>
      </c>
    </row>
    <row r="38" spans="2:5" x14ac:dyDescent="0.25">
      <c r="B38" t="s">
        <v>73</v>
      </c>
      <c r="C38" t="s">
        <v>1311</v>
      </c>
      <c r="D38" t="s">
        <v>1312</v>
      </c>
      <c r="E38">
        <v>132</v>
      </c>
    </row>
    <row r="39" spans="2:5" x14ac:dyDescent="0.25">
      <c r="B39" t="s">
        <v>73</v>
      </c>
      <c r="C39" t="s">
        <v>1311</v>
      </c>
      <c r="D39" t="s">
        <v>1312</v>
      </c>
      <c r="E39">
        <v>0</v>
      </c>
    </row>
    <row r="40" spans="2:5" x14ac:dyDescent="0.25">
      <c r="B40" t="s">
        <v>237</v>
      </c>
      <c r="C40" t="s">
        <v>596</v>
      </c>
      <c r="D40" t="s">
        <v>597</v>
      </c>
      <c r="E40">
        <v>640</v>
      </c>
    </row>
    <row r="41" spans="2:5" x14ac:dyDescent="0.25">
      <c r="B41" t="s">
        <v>237</v>
      </c>
      <c r="C41" t="s">
        <v>596</v>
      </c>
      <c r="D41" t="s">
        <v>597</v>
      </c>
      <c r="E41">
        <v>0</v>
      </c>
    </row>
    <row r="42" spans="2:5" x14ac:dyDescent="0.25">
      <c r="B42" t="s">
        <v>1313</v>
      </c>
      <c r="C42" t="s">
        <v>1314</v>
      </c>
      <c r="D42" t="s">
        <v>1315</v>
      </c>
      <c r="E42">
        <v>0</v>
      </c>
    </row>
    <row r="43" spans="2:5" x14ac:dyDescent="0.25">
      <c r="B43" t="s">
        <v>1313</v>
      </c>
      <c r="C43" t="s">
        <v>1316</v>
      </c>
      <c r="D43" t="s">
        <v>1317</v>
      </c>
      <c r="E43">
        <v>0</v>
      </c>
    </row>
    <row r="44" spans="2:5" x14ac:dyDescent="0.25">
      <c r="B44" t="s">
        <v>1313</v>
      </c>
      <c r="C44" t="s">
        <v>1318</v>
      </c>
      <c r="D44" t="s">
        <v>1319</v>
      </c>
      <c r="E44">
        <v>80</v>
      </c>
    </row>
    <row r="45" spans="2:5" x14ac:dyDescent="0.25">
      <c r="B45" t="s">
        <v>352</v>
      </c>
      <c r="C45" t="s">
        <v>1320</v>
      </c>
      <c r="D45" t="s">
        <v>1321</v>
      </c>
      <c r="E45">
        <v>0</v>
      </c>
    </row>
    <row r="46" spans="2:5" x14ac:dyDescent="0.25">
      <c r="B46" t="s">
        <v>352</v>
      </c>
      <c r="C46" t="s">
        <v>1320</v>
      </c>
      <c r="D46" t="s">
        <v>1321</v>
      </c>
      <c r="E46">
        <v>0</v>
      </c>
    </row>
    <row r="47" spans="2:5" x14ac:dyDescent="0.25">
      <c r="B47" t="s">
        <v>11</v>
      </c>
      <c r="C47" t="s">
        <v>1322</v>
      </c>
      <c r="D47" t="s">
        <v>1323</v>
      </c>
      <c r="E47">
        <v>2620</v>
      </c>
    </row>
    <row r="48" spans="2:5" x14ac:dyDescent="0.25">
      <c r="B48" t="s">
        <v>11</v>
      </c>
      <c r="C48" t="s">
        <v>1324</v>
      </c>
      <c r="D48" t="s">
        <v>1325</v>
      </c>
      <c r="E48">
        <v>69</v>
      </c>
    </row>
    <row r="49" spans="2:5" x14ac:dyDescent="0.25">
      <c r="B49" t="s">
        <v>11</v>
      </c>
      <c r="C49" t="s">
        <v>1324</v>
      </c>
      <c r="D49" t="s">
        <v>1325</v>
      </c>
      <c r="E49">
        <v>0</v>
      </c>
    </row>
    <row r="50" spans="2:5" x14ac:dyDescent="0.25">
      <c r="B50" t="s">
        <v>11</v>
      </c>
      <c r="C50" t="s">
        <v>1326</v>
      </c>
      <c r="D50" t="s">
        <v>1327</v>
      </c>
      <c r="E50">
        <v>29380</v>
      </c>
    </row>
    <row r="51" spans="2:5" x14ac:dyDescent="0.25">
      <c r="B51" t="s">
        <v>11</v>
      </c>
      <c r="C51" t="s">
        <v>1326</v>
      </c>
      <c r="D51" t="s">
        <v>1327</v>
      </c>
      <c r="E51">
        <v>100</v>
      </c>
    </row>
    <row r="52" spans="2:5" x14ac:dyDescent="0.25">
      <c r="B52" t="s">
        <v>11</v>
      </c>
      <c r="C52" t="s">
        <v>1326</v>
      </c>
      <c r="D52" t="s">
        <v>1327</v>
      </c>
      <c r="E52">
        <v>0</v>
      </c>
    </row>
    <row r="53" spans="2:5" x14ac:dyDescent="0.25">
      <c r="B53" t="s">
        <v>770</v>
      </c>
      <c r="C53" t="s">
        <v>1328</v>
      </c>
      <c r="D53" t="s">
        <v>1329</v>
      </c>
      <c r="E53">
        <v>2290</v>
      </c>
    </row>
    <row r="54" spans="2:5" x14ac:dyDescent="0.25">
      <c r="B54" t="s">
        <v>83</v>
      </c>
      <c r="C54" t="s">
        <v>993</v>
      </c>
      <c r="D54" t="s">
        <v>994</v>
      </c>
      <c r="E54">
        <v>0</v>
      </c>
    </row>
    <row r="55" spans="2:5" x14ac:dyDescent="0.25">
      <c r="B55" t="s">
        <v>52</v>
      </c>
      <c r="C55" t="s">
        <v>1330</v>
      </c>
      <c r="D55" t="s">
        <v>1331</v>
      </c>
      <c r="E55">
        <v>0</v>
      </c>
    </row>
    <row r="56" spans="2:5" x14ac:dyDescent="0.25">
      <c r="B56" t="s">
        <v>518</v>
      </c>
      <c r="C56" t="s">
        <v>519</v>
      </c>
      <c r="D56" t="s">
        <v>520</v>
      </c>
      <c r="E56">
        <v>0</v>
      </c>
    </row>
    <row r="57" spans="2:5" x14ac:dyDescent="0.25">
      <c r="B57" t="s">
        <v>518</v>
      </c>
      <c r="C57" t="s">
        <v>1332</v>
      </c>
      <c r="D57" t="s">
        <v>1333</v>
      </c>
      <c r="E57">
        <v>500</v>
      </c>
    </row>
    <row r="58" spans="2:5" x14ac:dyDescent="0.25">
      <c r="B58" t="s">
        <v>164</v>
      </c>
      <c r="C58" t="s">
        <v>1266</v>
      </c>
      <c r="D58" t="s">
        <v>1267</v>
      </c>
      <c r="E58">
        <v>0</v>
      </c>
    </row>
    <row r="59" spans="2:5" x14ac:dyDescent="0.25">
      <c r="B59" t="s">
        <v>164</v>
      </c>
      <c r="C59" t="s">
        <v>1266</v>
      </c>
      <c r="D59" t="s">
        <v>1267</v>
      </c>
      <c r="E59">
        <v>0</v>
      </c>
    </row>
    <row r="60" spans="2:5" x14ac:dyDescent="0.25">
      <c r="B60" t="s">
        <v>203</v>
      </c>
      <c r="C60" t="s">
        <v>963</v>
      </c>
      <c r="D60" t="s">
        <v>964</v>
      </c>
      <c r="E60">
        <v>0</v>
      </c>
    </row>
    <row r="61" spans="2:5" x14ac:dyDescent="0.25">
      <c r="B61" t="s">
        <v>203</v>
      </c>
      <c r="C61" t="s">
        <v>963</v>
      </c>
      <c r="D61" t="s">
        <v>964</v>
      </c>
      <c r="E61">
        <v>0</v>
      </c>
    </row>
    <row r="62" spans="2:5" x14ac:dyDescent="0.25">
      <c r="B62" t="s">
        <v>203</v>
      </c>
      <c r="C62" t="s">
        <v>1334</v>
      </c>
      <c r="D62" t="s">
        <v>1335</v>
      </c>
      <c r="E62">
        <v>0</v>
      </c>
    </row>
    <row r="63" spans="2:5" x14ac:dyDescent="0.25">
      <c r="B63" t="s">
        <v>161</v>
      </c>
      <c r="C63" t="s">
        <v>1336</v>
      </c>
      <c r="D63" t="s">
        <v>1337</v>
      </c>
      <c r="E63">
        <v>3080</v>
      </c>
    </row>
    <row r="64" spans="2:5" x14ac:dyDescent="0.25">
      <c r="B64" t="s">
        <v>161</v>
      </c>
      <c r="C64" t="s">
        <v>1336</v>
      </c>
      <c r="D64" t="s">
        <v>1337</v>
      </c>
      <c r="E64">
        <v>0</v>
      </c>
    </row>
    <row r="65" spans="2:5" x14ac:dyDescent="0.25">
      <c r="B65" t="s">
        <v>206</v>
      </c>
      <c r="C65" t="s">
        <v>1338</v>
      </c>
      <c r="D65" t="s">
        <v>1339</v>
      </c>
      <c r="E65">
        <v>0</v>
      </c>
    </row>
    <row r="66" spans="2:5" x14ac:dyDescent="0.25">
      <c r="B66" t="s">
        <v>206</v>
      </c>
      <c r="C66" t="s">
        <v>1338</v>
      </c>
      <c r="D66" t="s">
        <v>1339</v>
      </c>
      <c r="E66">
        <v>0</v>
      </c>
    </row>
    <row r="67" spans="2:5" x14ac:dyDescent="0.25">
      <c r="B67" t="s">
        <v>8</v>
      </c>
      <c r="C67" t="s">
        <v>1340</v>
      </c>
      <c r="D67" t="s">
        <v>1341</v>
      </c>
      <c r="E67">
        <v>950</v>
      </c>
    </row>
    <row r="68" spans="2:5" x14ac:dyDescent="0.25">
      <c r="B68" t="s">
        <v>8</v>
      </c>
      <c r="C68" t="s">
        <v>1340</v>
      </c>
      <c r="D68" t="s">
        <v>1341</v>
      </c>
      <c r="E68">
        <v>0</v>
      </c>
    </row>
    <row r="69" spans="2:5" x14ac:dyDescent="0.25">
      <c r="B69" t="s">
        <v>8</v>
      </c>
      <c r="C69" t="s">
        <v>453</v>
      </c>
      <c r="D69" t="s">
        <v>454</v>
      </c>
      <c r="E69">
        <v>0</v>
      </c>
    </row>
    <row r="70" spans="2:5" x14ac:dyDescent="0.25">
      <c r="B70" t="s">
        <v>17</v>
      </c>
      <c r="C70" t="s">
        <v>455</v>
      </c>
      <c r="D70" t="s">
        <v>456</v>
      </c>
      <c r="E70">
        <v>659</v>
      </c>
    </row>
    <row r="71" spans="2:5" x14ac:dyDescent="0.25">
      <c r="B71" t="s">
        <v>20</v>
      </c>
      <c r="C71" t="s">
        <v>457</v>
      </c>
      <c r="D71" t="s">
        <v>458</v>
      </c>
      <c r="E71">
        <v>5</v>
      </c>
    </row>
    <row r="72" spans="2:5" x14ac:dyDescent="0.25">
      <c r="B72" t="s">
        <v>20</v>
      </c>
      <c r="C72" t="s">
        <v>459</v>
      </c>
      <c r="D72" t="s">
        <v>460</v>
      </c>
      <c r="E72">
        <v>0</v>
      </c>
    </row>
    <row r="73" spans="2:5" x14ac:dyDescent="0.25">
      <c r="B73" t="s">
        <v>20</v>
      </c>
      <c r="C73" t="s">
        <v>459</v>
      </c>
      <c r="D73" t="s">
        <v>460</v>
      </c>
      <c r="E73">
        <v>0</v>
      </c>
    </row>
    <row r="74" spans="2:5" x14ac:dyDescent="0.25">
      <c r="B74" t="s">
        <v>461</v>
      </c>
      <c r="C74" t="s">
        <v>462</v>
      </c>
      <c r="D74" t="s">
        <v>463</v>
      </c>
      <c r="E74">
        <v>93</v>
      </c>
    </row>
    <row r="75" spans="2:5" x14ac:dyDescent="0.25">
      <c r="B75" t="s">
        <v>11</v>
      </c>
      <c r="C75" t="s">
        <v>464</v>
      </c>
      <c r="D75" t="s">
        <v>465</v>
      </c>
      <c r="E75">
        <v>0</v>
      </c>
    </row>
    <row r="76" spans="2:5" x14ac:dyDescent="0.25">
      <c r="B76" t="s">
        <v>67</v>
      </c>
      <c r="C76" t="s">
        <v>466</v>
      </c>
      <c r="D76" t="s">
        <v>467</v>
      </c>
      <c r="E76">
        <v>0</v>
      </c>
    </row>
    <row r="77" spans="2:5" x14ac:dyDescent="0.25">
      <c r="B77" t="s">
        <v>343</v>
      </c>
      <c r="C77" t="s">
        <v>468</v>
      </c>
      <c r="D77" t="s">
        <v>469</v>
      </c>
      <c r="E77">
        <v>0</v>
      </c>
    </row>
    <row r="78" spans="2:5" x14ac:dyDescent="0.25">
      <c r="B78" t="s">
        <v>25</v>
      </c>
      <c r="C78" t="s">
        <v>470</v>
      </c>
      <c r="D78" t="s">
        <v>471</v>
      </c>
      <c r="E78">
        <v>285</v>
      </c>
    </row>
    <row r="79" spans="2:5" x14ac:dyDescent="0.25">
      <c r="B79" t="s">
        <v>25</v>
      </c>
      <c r="C79" t="s">
        <v>470</v>
      </c>
      <c r="D79" t="s">
        <v>471</v>
      </c>
      <c r="E79">
        <v>0</v>
      </c>
    </row>
    <row r="80" spans="2:5" x14ac:dyDescent="0.25">
      <c r="B80" t="s">
        <v>25</v>
      </c>
      <c r="C80" t="s">
        <v>472</v>
      </c>
      <c r="D80" t="s">
        <v>473</v>
      </c>
      <c r="E80">
        <v>0</v>
      </c>
    </row>
    <row r="81" spans="2:5" x14ac:dyDescent="0.25">
      <c r="B81" t="s">
        <v>40</v>
      </c>
      <c r="C81" t="s">
        <v>474</v>
      </c>
      <c r="D81" t="s">
        <v>475</v>
      </c>
      <c r="E81">
        <v>270</v>
      </c>
    </row>
    <row r="82" spans="2:5" x14ac:dyDescent="0.25">
      <c r="B82" t="s">
        <v>261</v>
      </c>
      <c r="C82" t="s">
        <v>476</v>
      </c>
      <c r="D82" t="s">
        <v>477</v>
      </c>
      <c r="E82">
        <v>0</v>
      </c>
    </row>
    <row r="83" spans="2:5" x14ac:dyDescent="0.25">
      <c r="B83" t="s">
        <v>261</v>
      </c>
      <c r="C83" t="s">
        <v>476</v>
      </c>
      <c r="D83" t="s">
        <v>477</v>
      </c>
      <c r="E83">
        <v>0</v>
      </c>
    </row>
    <row r="84" spans="2:5" x14ac:dyDescent="0.25">
      <c r="B84" t="s">
        <v>14</v>
      </c>
      <c r="C84" t="s">
        <v>478</v>
      </c>
      <c r="D84" t="s">
        <v>479</v>
      </c>
      <c r="E84">
        <v>7300</v>
      </c>
    </row>
    <row r="85" spans="2:5" x14ac:dyDescent="0.25">
      <c r="B85" t="s">
        <v>14</v>
      </c>
      <c r="C85" t="s">
        <v>480</v>
      </c>
      <c r="D85" t="s">
        <v>481</v>
      </c>
      <c r="E85">
        <v>0</v>
      </c>
    </row>
    <row r="86" spans="2:5" x14ac:dyDescent="0.25">
      <c r="B86" t="s">
        <v>14</v>
      </c>
      <c r="C86" t="s">
        <v>482</v>
      </c>
      <c r="D86" t="s">
        <v>483</v>
      </c>
      <c r="E86">
        <v>69</v>
      </c>
    </row>
    <row r="87" spans="2:5" x14ac:dyDescent="0.25">
      <c r="B87" t="s">
        <v>14</v>
      </c>
      <c r="C87" t="s">
        <v>484</v>
      </c>
      <c r="D87" t="s">
        <v>485</v>
      </c>
      <c r="E87">
        <v>0</v>
      </c>
    </row>
    <row r="88" spans="2:5" x14ac:dyDescent="0.25">
      <c r="B88" t="s">
        <v>438</v>
      </c>
      <c r="C88" t="s">
        <v>741</v>
      </c>
      <c r="D88" t="s">
        <v>742</v>
      </c>
      <c r="E88">
        <v>0</v>
      </c>
    </row>
    <row r="89" spans="2:5" x14ac:dyDescent="0.25">
      <c r="B89" t="s">
        <v>438</v>
      </c>
      <c r="C89" t="s">
        <v>743</v>
      </c>
      <c r="D89" t="s">
        <v>744</v>
      </c>
      <c r="E89">
        <v>0</v>
      </c>
    </row>
    <row r="90" spans="2:5" x14ac:dyDescent="0.25">
      <c r="B90" t="s">
        <v>195</v>
      </c>
      <c r="C90" t="s">
        <v>745</v>
      </c>
      <c r="D90" t="s">
        <v>746</v>
      </c>
      <c r="E90">
        <v>0</v>
      </c>
    </row>
    <row r="91" spans="2:5" x14ac:dyDescent="0.25">
      <c r="B91" t="s">
        <v>195</v>
      </c>
      <c r="C91" t="s">
        <v>747</v>
      </c>
      <c r="D91" t="s">
        <v>748</v>
      </c>
      <c r="E91">
        <v>0</v>
      </c>
    </row>
    <row r="92" spans="2:5" x14ac:dyDescent="0.25">
      <c r="B92" t="s">
        <v>195</v>
      </c>
      <c r="C92" t="s">
        <v>749</v>
      </c>
      <c r="D92" t="s">
        <v>750</v>
      </c>
      <c r="E92">
        <v>0</v>
      </c>
    </row>
    <row r="93" spans="2:5" x14ac:dyDescent="0.25">
      <c r="B93" t="s">
        <v>328</v>
      </c>
      <c r="C93" t="s">
        <v>751</v>
      </c>
      <c r="D93" t="s">
        <v>752</v>
      </c>
      <c r="E93">
        <v>0</v>
      </c>
    </row>
    <row r="94" spans="2:5" x14ac:dyDescent="0.25">
      <c r="B94" t="s">
        <v>164</v>
      </c>
      <c r="C94" t="s">
        <v>720</v>
      </c>
      <c r="D94" t="s">
        <v>721</v>
      </c>
      <c r="E94">
        <v>0</v>
      </c>
    </row>
    <row r="95" spans="2:5" x14ac:dyDescent="0.25">
      <c r="B95" t="s">
        <v>164</v>
      </c>
      <c r="C95" t="s">
        <v>720</v>
      </c>
      <c r="D95" t="s">
        <v>721</v>
      </c>
      <c r="E95">
        <v>0</v>
      </c>
    </row>
    <row r="96" spans="2:5" x14ac:dyDescent="0.25">
      <c r="B96" t="s">
        <v>203</v>
      </c>
      <c r="C96" t="s">
        <v>753</v>
      </c>
      <c r="D96" t="s">
        <v>754</v>
      </c>
      <c r="E96">
        <v>4</v>
      </c>
    </row>
    <row r="97" spans="2:5" x14ac:dyDescent="0.25">
      <c r="B97" t="s">
        <v>214</v>
      </c>
      <c r="C97" t="s">
        <v>755</v>
      </c>
      <c r="D97" t="s">
        <v>756</v>
      </c>
      <c r="E97">
        <v>790</v>
      </c>
    </row>
    <row r="98" spans="2:5" x14ac:dyDescent="0.25">
      <c r="B98" t="s">
        <v>131</v>
      </c>
      <c r="C98" t="s">
        <v>757</v>
      </c>
      <c r="D98" t="s">
        <v>758</v>
      </c>
      <c r="E98">
        <v>0</v>
      </c>
    </row>
    <row r="99" spans="2:5" x14ac:dyDescent="0.25">
      <c r="B99" t="s">
        <v>58</v>
      </c>
      <c r="C99" t="s">
        <v>759</v>
      </c>
      <c r="D99" t="s">
        <v>760</v>
      </c>
      <c r="E99">
        <v>59</v>
      </c>
    </row>
    <row r="100" spans="2:5" x14ac:dyDescent="0.25">
      <c r="B100" t="s">
        <v>217</v>
      </c>
      <c r="C100" t="s">
        <v>761</v>
      </c>
      <c r="D100" t="s">
        <v>762</v>
      </c>
      <c r="E100">
        <v>0</v>
      </c>
    </row>
    <row r="101" spans="2:5" x14ac:dyDescent="0.25">
      <c r="B101" t="s">
        <v>217</v>
      </c>
      <c r="C101" t="s">
        <v>761</v>
      </c>
      <c r="D101" t="s">
        <v>762</v>
      </c>
      <c r="E101">
        <v>0</v>
      </c>
    </row>
    <row r="102" spans="2:5" x14ac:dyDescent="0.25">
      <c r="B102" t="s">
        <v>217</v>
      </c>
      <c r="C102" t="s">
        <v>761</v>
      </c>
      <c r="D102" t="s">
        <v>762</v>
      </c>
      <c r="E102">
        <v>0</v>
      </c>
    </row>
    <row r="103" spans="2:5" x14ac:dyDescent="0.25">
      <c r="B103" t="s">
        <v>64</v>
      </c>
      <c r="C103" t="s">
        <v>1053</v>
      </c>
      <c r="D103" t="s">
        <v>1054</v>
      </c>
      <c r="E103">
        <v>0</v>
      </c>
    </row>
    <row r="104" spans="2:5" x14ac:dyDescent="0.25">
      <c r="B104" t="s">
        <v>64</v>
      </c>
      <c r="C104" t="s">
        <v>1053</v>
      </c>
      <c r="D104" t="s">
        <v>1054</v>
      </c>
      <c r="E104">
        <v>0</v>
      </c>
    </row>
    <row r="105" spans="2:5" x14ac:dyDescent="0.25">
      <c r="B105" t="s">
        <v>797</v>
      </c>
      <c r="C105" t="s">
        <v>1055</v>
      </c>
      <c r="D105" t="s">
        <v>1056</v>
      </c>
      <c r="E105">
        <v>0</v>
      </c>
    </row>
    <row r="106" spans="2:5" x14ac:dyDescent="0.25">
      <c r="B106" t="s">
        <v>797</v>
      </c>
      <c r="C106" t="s">
        <v>1055</v>
      </c>
      <c r="D106" t="s">
        <v>1056</v>
      </c>
      <c r="E106">
        <v>0</v>
      </c>
    </row>
    <row r="107" spans="2:5" x14ac:dyDescent="0.25">
      <c r="B107" t="s">
        <v>797</v>
      </c>
      <c r="C107" t="s">
        <v>1057</v>
      </c>
      <c r="D107" t="s">
        <v>1058</v>
      </c>
      <c r="E107">
        <v>0</v>
      </c>
    </row>
    <row r="108" spans="2:5" x14ac:dyDescent="0.25">
      <c r="B108" t="s">
        <v>70</v>
      </c>
      <c r="C108" t="s">
        <v>1059</v>
      </c>
      <c r="D108" t="s">
        <v>1060</v>
      </c>
      <c r="E108">
        <v>25</v>
      </c>
    </row>
    <row r="109" spans="2:5" x14ac:dyDescent="0.25">
      <c r="B109" t="s">
        <v>70</v>
      </c>
      <c r="C109" t="s">
        <v>1059</v>
      </c>
      <c r="D109" t="s">
        <v>1060</v>
      </c>
      <c r="E109">
        <v>0</v>
      </c>
    </row>
    <row r="110" spans="2:5" x14ac:dyDescent="0.25">
      <c r="B110" t="s">
        <v>860</v>
      </c>
      <c r="C110" t="s">
        <v>1061</v>
      </c>
      <c r="D110" t="s">
        <v>1062</v>
      </c>
      <c r="E110">
        <v>4700</v>
      </c>
    </row>
    <row r="111" spans="2:5" x14ac:dyDescent="0.25">
      <c r="B111" t="s">
        <v>860</v>
      </c>
      <c r="C111" t="s">
        <v>1061</v>
      </c>
      <c r="D111" t="s">
        <v>1062</v>
      </c>
      <c r="E111">
        <v>0</v>
      </c>
    </row>
    <row r="112" spans="2:5" x14ac:dyDescent="0.25">
      <c r="B112" t="s">
        <v>237</v>
      </c>
      <c r="C112" t="s">
        <v>1063</v>
      </c>
      <c r="D112" t="s">
        <v>1064</v>
      </c>
      <c r="E112">
        <v>497</v>
      </c>
    </row>
    <row r="113" spans="2:5" x14ac:dyDescent="0.25">
      <c r="B113" t="s">
        <v>237</v>
      </c>
      <c r="C113" t="s">
        <v>1063</v>
      </c>
      <c r="D113" t="s">
        <v>1064</v>
      </c>
      <c r="E113">
        <v>0</v>
      </c>
    </row>
    <row r="114" spans="2:5" x14ac:dyDescent="0.25">
      <c r="B114" t="s">
        <v>237</v>
      </c>
      <c r="C114" t="s">
        <v>1063</v>
      </c>
      <c r="D114" t="s">
        <v>1064</v>
      </c>
      <c r="E114">
        <v>0</v>
      </c>
    </row>
    <row r="115" spans="2:5" x14ac:dyDescent="0.25">
      <c r="B115" t="s">
        <v>352</v>
      </c>
      <c r="C115" t="s">
        <v>1065</v>
      </c>
      <c r="D115" t="s">
        <v>1066</v>
      </c>
      <c r="E115">
        <v>0</v>
      </c>
    </row>
    <row r="116" spans="2:5" x14ac:dyDescent="0.25">
      <c r="B116" t="s">
        <v>352</v>
      </c>
      <c r="C116" t="s">
        <v>1067</v>
      </c>
      <c r="D116" t="s">
        <v>1068</v>
      </c>
      <c r="E116">
        <v>0</v>
      </c>
    </row>
    <row r="117" spans="2:5" x14ac:dyDescent="0.25">
      <c r="B117" t="s">
        <v>623</v>
      </c>
      <c r="C117" t="s">
        <v>624</v>
      </c>
      <c r="D117" t="s">
        <v>625</v>
      </c>
      <c r="E117">
        <v>0</v>
      </c>
    </row>
    <row r="118" spans="2:5" x14ac:dyDescent="0.25">
      <c r="B118" t="s">
        <v>687</v>
      </c>
      <c r="C118" t="s">
        <v>688</v>
      </c>
      <c r="D118" t="s">
        <v>689</v>
      </c>
      <c r="E118">
        <v>0</v>
      </c>
    </row>
    <row r="119" spans="2:5" x14ac:dyDescent="0.25">
      <c r="B119" t="s">
        <v>125</v>
      </c>
      <c r="C119" t="s">
        <v>1069</v>
      </c>
      <c r="D119" t="s">
        <v>1070</v>
      </c>
      <c r="E119">
        <v>0</v>
      </c>
    </row>
    <row r="120" spans="2:5" x14ac:dyDescent="0.25">
      <c r="B120" t="s">
        <v>1071</v>
      </c>
      <c r="C120" t="s">
        <v>1072</v>
      </c>
      <c r="D120" t="s">
        <v>1073</v>
      </c>
      <c r="E120">
        <v>0</v>
      </c>
    </row>
    <row r="121" spans="2:5" x14ac:dyDescent="0.25">
      <c r="B121" t="s">
        <v>1071</v>
      </c>
      <c r="C121" t="s">
        <v>1072</v>
      </c>
      <c r="D121" t="s">
        <v>1073</v>
      </c>
      <c r="E121">
        <v>0</v>
      </c>
    </row>
    <row r="122" spans="2:5" x14ac:dyDescent="0.25">
      <c r="B122" t="s">
        <v>250</v>
      </c>
      <c r="C122" t="s">
        <v>1074</v>
      </c>
      <c r="D122" t="s">
        <v>1075</v>
      </c>
      <c r="E122">
        <v>0</v>
      </c>
    </row>
    <row r="123" spans="2:5" x14ac:dyDescent="0.25">
      <c r="B123" t="s">
        <v>8</v>
      </c>
      <c r="C123" t="s">
        <v>1076</v>
      </c>
      <c r="D123" t="s">
        <v>1077</v>
      </c>
      <c r="E123">
        <v>0</v>
      </c>
    </row>
    <row r="124" spans="2:5" x14ac:dyDescent="0.25">
      <c r="B124" t="s">
        <v>8</v>
      </c>
      <c r="C124" t="s">
        <v>1078</v>
      </c>
      <c r="D124" t="s">
        <v>1079</v>
      </c>
      <c r="E124">
        <v>10080</v>
      </c>
    </row>
    <row r="125" spans="2:5" x14ac:dyDescent="0.25">
      <c r="B125" t="s">
        <v>8</v>
      </c>
      <c r="C125" t="s">
        <v>1078</v>
      </c>
      <c r="D125" t="s">
        <v>1079</v>
      </c>
      <c r="E125">
        <v>0</v>
      </c>
    </row>
    <row r="126" spans="2:5" x14ac:dyDescent="0.25">
      <c r="B126" t="s">
        <v>8</v>
      </c>
      <c r="C126" t="s">
        <v>1080</v>
      </c>
      <c r="D126" t="s">
        <v>1081</v>
      </c>
      <c r="E126">
        <v>0</v>
      </c>
    </row>
    <row r="127" spans="2:5" x14ac:dyDescent="0.25">
      <c r="B127" t="s">
        <v>31</v>
      </c>
      <c r="C127" t="s">
        <v>1082</v>
      </c>
      <c r="D127" t="s">
        <v>1083</v>
      </c>
      <c r="E127">
        <v>7260</v>
      </c>
    </row>
    <row r="128" spans="2:5" x14ac:dyDescent="0.25">
      <c r="B128" t="s">
        <v>25</v>
      </c>
      <c r="C128" t="s">
        <v>621</v>
      </c>
      <c r="D128" t="s">
        <v>622</v>
      </c>
      <c r="E128">
        <v>0</v>
      </c>
    </row>
    <row r="129" spans="2:5" x14ac:dyDescent="0.25">
      <c r="B129" t="s">
        <v>25</v>
      </c>
      <c r="C129" t="s">
        <v>1084</v>
      </c>
      <c r="D129" t="s">
        <v>1085</v>
      </c>
      <c r="E129">
        <v>0</v>
      </c>
    </row>
    <row r="130" spans="2:5" x14ac:dyDescent="0.25">
      <c r="B130" t="s">
        <v>25</v>
      </c>
      <c r="C130" t="s">
        <v>1084</v>
      </c>
      <c r="D130" t="s">
        <v>1085</v>
      </c>
      <c r="E130">
        <v>0</v>
      </c>
    </row>
    <row r="131" spans="2:5" x14ac:dyDescent="0.25">
      <c r="B131" t="s">
        <v>34</v>
      </c>
      <c r="C131" t="s">
        <v>1086</v>
      </c>
      <c r="D131" t="s">
        <v>1087</v>
      </c>
      <c r="E131">
        <v>4523</v>
      </c>
    </row>
    <row r="132" spans="2:5" x14ac:dyDescent="0.25">
      <c r="B132" t="s">
        <v>217</v>
      </c>
      <c r="C132" t="s">
        <v>1088</v>
      </c>
      <c r="D132" t="s">
        <v>1089</v>
      </c>
      <c r="E132">
        <v>0</v>
      </c>
    </row>
    <row r="133" spans="2:5" x14ac:dyDescent="0.25">
      <c r="B133" t="s">
        <v>20</v>
      </c>
      <c r="C133" t="s">
        <v>1119</v>
      </c>
      <c r="D133" t="s">
        <v>1120</v>
      </c>
      <c r="E133">
        <v>31680</v>
      </c>
    </row>
    <row r="134" spans="2:5" x14ac:dyDescent="0.25">
      <c r="B134" t="s">
        <v>438</v>
      </c>
      <c r="C134" t="s">
        <v>743</v>
      </c>
      <c r="D134" t="s">
        <v>744</v>
      </c>
      <c r="E134">
        <v>0</v>
      </c>
    </row>
    <row r="135" spans="2:5" x14ac:dyDescent="0.25">
      <c r="B135" t="s">
        <v>161</v>
      </c>
      <c r="C135" t="s">
        <v>1121</v>
      </c>
      <c r="D135" t="s">
        <v>1122</v>
      </c>
      <c r="E135">
        <v>30</v>
      </c>
    </row>
    <row r="136" spans="2:5" x14ac:dyDescent="0.25">
      <c r="B136" t="s">
        <v>164</v>
      </c>
      <c r="C136" t="s">
        <v>1094</v>
      </c>
      <c r="D136" t="s">
        <v>1095</v>
      </c>
      <c r="E136">
        <v>0</v>
      </c>
    </row>
    <row r="137" spans="2:5" x14ac:dyDescent="0.25">
      <c r="B137" t="s">
        <v>55</v>
      </c>
      <c r="C137" t="s">
        <v>1096</v>
      </c>
      <c r="D137" t="s">
        <v>1097</v>
      </c>
      <c r="E137">
        <v>0</v>
      </c>
    </row>
    <row r="138" spans="2:5" x14ac:dyDescent="0.25">
      <c r="B138" t="s">
        <v>164</v>
      </c>
      <c r="C138" t="s">
        <v>1098</v>
      </c>
      <c r="D138" t="s">
        <v>1099</v>
      </c>
      <c r="E138">
        <v>80</v>
      </c>
    </row>
    <row r="139" spans="2:5" x14ac:dyDescent="0.25">
      <c r="B139" t="s">
        <v>106</v>
      </c>
      <c r="C139" t="s">
        <v>1100</v>
      </c>
      <c r="D139" t="s">
        <v>1101</v>
      </c>
      <c r="E139">
        <v>190</v>
      </c>
    </row>
    <row r="140" spans="2:5" x14ac:dyDescent="0.25">
      <c r="B140" t="s">
        <v>1020</v>
      </c>
      <c r="C140" t="s">
        <v>1102</v>
      </c>
      <c r="D140" t="s">
        <v>1103</v>
      </c>
      <c r="E140">
        <v>0</v>
      </c>
    </row>
    <row r="141" spans="2:5" x14ac:dyDescent="0.25">
      <c r="B141" t="s">
        <v>1071</v>
      </c>
      <c r="C141" t="s">
        <v>1072</v>
      </c>
      <c r="D141" t="s">
        <v>1073</v>
      </c>
      <c r="E141">
        <v>0</v>
      </c>
    </row>
    <row r="142" spans="2:5" x14ac:dyDescent="0.25">
      <c r="B142" t="s">
        <v>1071</v>
      </c>
      <c r="C142" t="s">
        <v>1104</v>
      </c>
      <c r="D142" t="s">
        <v>1105</v>
      </c>
      <c r="E142">
        <v>0</v>
      </c>
    </row>
    <row r="143" spans="2:5" x14ac:dyDescent="0.25">
      <c r="B143" t="s">
        <v>91</v>
      </c>
      <c r="C143" t="s">
        <v>1106</v>
      </c>
      <c r="D143" t="s">
        <v>1107</v>
      </c>
      <c r="E143">
        <v>0</v>
      </c>
    </row>
    <row r="144" spans="2:5" x14ac:dyDescent="0.25">
      <c r="B144" t="s">
        <v>91</v>
      </c>
      <c r="C144" t="s">
        <v>1108</v>
      </c>
      <c r="D144" t="s">
        <v>1109</v>
      </c>
      <c r="E144">
        <v>0</v>
      </c>
    </row>
    <row r="145" spans="2:5" x14ac:dyDescent="0.25">
      <c r="B145" t="s">
        <v>55</v>
      </c>
      <c r="C145" t="s">
        <v>1110</v>
      </c>
      <c r="D145" t="s">
        <v>1111</v>
      </c>
      <c r="E145">
        <v>0</v>
      </c>
    </row>
    <row r="146" spans="2:5" x14ac:dyDescent="0.25">
      <c r="B146" t="s">
        <v>55</v>
      </c>
      <c r="C146" t="s">
        <v>1112</v>
      </c>
      <c r="D146" t="s">
        <v>1113</v>
      </c>
      <c r="E146">
        <v>0</v>
      </c>
    </row>
    <row r="147" spans="2:5" x14ac:dyDescent="0.25">
      <c r="B147" t="s">
        <v>1114</v>
      </c>
      <c r="C147" t="s">
        <v>1115</v>
      </c>
      <c r="D147" t="s">
        <v>1116</v>
      </c>
      <c r="E147">
        <v>0</v>
      </c>
    </row>
    <row r="148" spans="2:5" x14ac:dyDescent="0.25">
      <c r="B148" t="s">
        <v>694</v>
      </c>
      <c r="C148" t="s">
        <v>695</v>
      </c>
      <c r="D148" t="s">
        <v>696</v>
      </c>
      <c r="E148">
        <v>0</v>
      </c>
    </row>
    <row r="149" spans="2:5" x14ac:dyDescent="0.25">
      <c r="B149" t="s">
        <v>8</v>
      </c>
      <c r="C149" t="s">
        <v>605</v>
      </c>
      <c r="D149" t="s">
        <v>606</v>
      </c>
      <c r="E149">
        <v>0</v>
      </c>
    </row>
    <row r="150" spans="2:5" x14ac:dyDescent="0.25">
      <c r="B150" t="s">
        <v>705</v>
      </c>
      <c r="C150" t="s">
        <v>1117</v>
      </c>
      <c r="D150" t="s">
        <v>1118</v>
      </c>
      <c r="E150">
        <v>0</v>
      </c>
    </row>
    <row r="151" spans="2:5" x14ac:dyDescent="0.25">
      <c r="B151" t="s">
        <v>712</v>
      </c>
      <c r="C151" t="s">
        <v>713</v>
      </c>
      <c r="D151" t="s">
        <v>714</v>
      </c>
      <c r="E151">
        <v>0</v>
      </c>
    </row>
    <row r="152" spans="2:5" x14ac:dyDescent="0.25">
      <c r="B152" t="s">
        <v>715</v>
      </c>
      <c r="C152" t="s">
        <v>716</v>
      </c>
      <c r="D152" t="s">
        <v>717</v>
      </c>
      <c r="E152">
        <v>0</v>
      </c>
    </row>
    <row r="153" spans="2:5" x14ac:dyDescent="0.25">
      <c r="B153" t="s">
        <v>145</v>
      </c>
      <c r="C153" t="s">
        <v>1123</v>
      </c>
      <c r="D153" t="s">
        <v>1124</v>
      </c>
      <c r="E153">
        <v>0</v>
      </c>
    </row>
    <row r="154" spans="2:5" x14ac:dyDescent="0.25">
      <c r="B154" t="s">
        <v>237</v>
      </c>
      <c r="C154" t="s">
        <v>1125</v>
      </c>
      <c r="D154" t="s">
        <v>1126</v>
      </c>
      <c r="E154">
        <v>0</v>
      </c>
    </row>
    <row r="155" spans="2:5" x14ac:dyDescent="0.25">
      <c r="B155" t="s">
        <v>352</v>
      </c>
      <c r="C155" t="s">
        <v>1127</v>
      </c>
      <c r="D155" t="s">
        <v>1128</v>
      </c>
      <c r="E155">
        <v>0</v>
      </c>
    </row>
    <row r="156" spans="2:5" x14ac:dyDescent="0.25">
      <c r="B156" t="s">
        <v>1129</v>
      </c>
      <c r="C156" t="s">
        <v>1130</v>
      </c>
      <c r="D156" t="s">
        <v>1131</v>
      </c>
      <c r="E156">
        <v>0</v>
      </c>
    </row>
    <row r="157" spans="2:5" x14ac:dyDescent="0.25">
      <c r="B157" t="s">
        <v>161</v>
      </c>
      <c r="C157" t="s">
        <v>1132</v>
      </c>
      <c r="D157" t="s">
        <v>1133</v>
      </c>
      <c r="E157">
        <v>0</v>
      </c>
    </row>
    <row r="158" spans="2:5" x14ac:dyDescent="0.25">
      <c r="B158" t="s">
        <v>705</v>
      </c>
      <c r="C158" t="s">
        <v>706</v>
      </c>
      <c r="D158" t="s">
        <v>707</v>
      </c>
      <c r="E158">
        <v>220</v>
      </c>
    </row>
    <row r="159" spans="2:5" x14ac:dyDescent="0.25">
      <c r="B159" t="s">
        <v>705</v>
      </c>
      <c r="C159" t="s">
        <v>1117</v>
      </c>
      <c r="D159" t="s">
        <v>1118</v>
      </c>
      <c r="E159">
        <v>270</v>
      </c>
    </row>
    <row r="160" spans="2:5" x14ac:dyDescent="0.25">
      <c r="B160" t="s">
        <v>8</v>
      </c>
      <c r="C160" t="s">
        <v>1134</v>
      </c>
      <c r="D160" t="s">
        <v>1135</v>
      </c>
      <c r="E160">
        <v>0</v>
      </c>
    </row>
    <row r="161" spans="2:5" x14ac:dyDescent="0.25">
      <c r="B161" t="s">
        <v>145</v>
      </c>
      <c r="C161" t="s">
        <v>1136</v>
      </c>
      <c r="D161" t="s">
        <v>1137</v>
      </c>
      <c r="E161">
        <v>0</v>
      </c>
    </row>
    <row r="162" spans="2:5" x14ac:dyDescent="0.25">
      <c r="B162" t="s">
        <v>161</v>
      </c>
      <c r="C162" t="s">
        <v>1121</v>
      </c>
      <c r="D162" t="s">
        <v>1122</v>
      </c>
      <c r="E162">
        <v>0</v>
      </c>
    </row>
    <row r="163" spans="2:5" x14ac:dyDescent="0.25">
      <c r="B163" t="s">
        <v>164</v>
      </c>
      <c r="C163" t="s">
        <v>1094</v>
      </c>
      <c r="D163" t="s">
        <v>1095</v>
      </c>
      <c r="E163">
        <v>0</v>
      </c>
    </row>
    <row r="164" spans="2:5" x14ac:dyDescent="0.25">
      <c r="B164" t="s">
        <v>438</v>
      </c>
      <c r="C164" t="s">
        <v>741</v>
      </c>
      <c r="D164" t="s">
        <v>742</v>
      </c>
      <c r="E164">
        <v>0</v>
      </c>
    </row>
    <row r="165" spans="2:5" x14ac:dyDescent="0.25">
      <c r="B165" t="s">
        <v>145</v>
      </c>
      <c r="C165" t="s">
        <v>1138</v>
      </c>
      <c r="D165" t="s">
        <v>1139</v>
      </c>
      <c r="E165">
        <v>0</v>
      </c>
    </row>
    <row r="166" spans="2:5" x14ac:dyDescent="0.25">
      <c r="B166" t="s">
        <v>380</v>
      </c>
      <c r="C166" t="s">
        <v>1140</v>
      </c>
      <c r="D166" t="s">
        <v>1141</v>
      </c>
      <c r="E166">
        <v>0</v>
      </c>
    </row>
    <row r="167" spans="2:5" x14ac:dyDescent="0.25">
      <c r="B167" t="s">
        <v>83</v>
      </c>
      <c r="C167" t="s">
        <v>1142</v>
      </c>
      <c r="D167" t="s">
        <v>1143</v>
      </c>
      <c r="E167">
        <v>4860</v>
      </c>
    </row>
    <row r="168" spans="2:5" x14ac:dyDescent="0.25">
      <c r="B168" t="s">
        <v>1144</v>
      </c>
      <c r="C168" t="s">
        <v>1145</v>
      </c>
      <c r="D168" t="s">
        <v>1146</v>
      </c>
      <c r="E168">
        <v>0</v>
      </c>
    </row>
    <row r="169" spans="2:5" x14ac:dyDescent="0.25">
      <c r="B169" t="s">
        <v>1147</v>
      </c>
      <c r="C169" t="s">
        <v>1148</v>
      </c>
      <c r="D169" t="s">
        <v>1149</v>
      </c>
      <c r="E169">
        <v>0</v>
      </c>
    </row>
    <row r="170" spans="2:5" x14ac:dyDescent="0.25">
      <c r="B170" t="s">
        <v>131</v>
      </c>
      <c r="C170" t="s">
        <v>634</v>
      </c>
      <c r="D170" t="s">
        <v>635</v>
      </c>
      <c r="E170">
        <v>35</v>
      </c>
    </row>
    <row r="171" spans="2:5" x14ac:dyDescent="0.25">
      <c r="B171" t="s">
        <v>131</v>
      </c>
      <c r="C171" t="s">
        <v>632</v>
      </c>
      <c r="D171" t="s">
        <v>633</v>
      </c>
      <c r="E171">
        <v>0</v>
      </c>
    </row>
    <row r="172" spans="2:5" x14ac:dyDescent="0.25">
      <c r="B172" t="s">
        <v>58</v>
      </c>
      <c r="C172" t="s">
        <v>1150</v>
      </c>
      <c r="D172" t="s">
        <v>1151</v>
      </c>
      <c r="E172">
        <v>0</v>
      </c>
    </row>
    <row r="173" spans="2:5" x14ac:dyDescent="0.25">
      <c r="B173" t="s">
        <v>195</v>
      </c>
      <c r="C173" t="s">
        <v>196</v>
      </c>
      <c r="D173" t="s">
        <v>197</v>
      </c>
      <c r="E173">
        <v>500</v>
      </c>
    </row>
    <row r="174" spans="2:5" x14ac:dyDescent="0.25">
      <c r="B174" t="s">
        <v>195</v>
      </c>
      <c r="C174" t="s">
        <v>196</v>
      </c>
      <c r="D174" t="s">
        <v>197</v>
      </c>
      <c r="E174">
        <v>0</v>
      </c>
    </row>
    <row r="175" spans="2:5" x14ac:dyDescent="0.25">
      <c r="B175" t="s">
        <v>198</v>
      </c>
      <c r="C175" t="s">
        <v>199</v>
      </c>
      <c r="D175" t="s">
        <v>200</v>
      </c>
      <c r="E175">
        <v>0</v>
      </c>
    </row>
    <row r="176" spans="2:5" x14ac:dyDescent="0.25">
      <c r="B176" t="s">
        <v>117</v>
      </c>
      <c r="C176" t="s">
        <v>201</v>
      </c>
      <c r="D176" t="s">
        <v>202</v>
      </c>
      <c r="E176">
        <v>0</v>
      </c>
    </row>
    <row r="177" spans="2:5" x14ac:dyDescent="0.25">
      <c r="B177" t="s">
        <v>164</v>
      </c>
      <c r="C177" t="s">
        <v>165</v>
      </c>
      <c r="D177" t="s">
        <v>166</v>
      </c>
      <c r="E177">
        <v>0</v>
      </c>
    </row>
    <row r="178" spans="2:5" x14ac:dyDescent="0.25">
      <c r="B178" t="s">
        <v>164</v>
      </c>
      <c r="C178" t="s">
        <v>167</v>
      </c>
      <c r="D178" t="s">
        <v>168</v>
      </c>
      <c r="E178">
        <v>0</v>
      </c>
    </row>
    <row r="179" spans="2:5" x14ac:dyDescent="0.25">
      <c r="B179" t="s">
        <v>164</v>
      </c>
      <c r="C179" t="s">
        <v>167</v>
      </c>
      <c r="D179" t="s">
        <v>168</v>
      </c>
      <c r="E179">
        <v>0</v>
      </c>
    </row>
    <row r="180" spans="2:5" x14ac:dyDescent="0.25">
      <c r="B180" t="s">
        <v>164</v>
      </c>
      <c r="C180" t="s">
        <v>169</v>
      </c>
      <c r="D180" t="s">
        <v>170</v>
      </c>
      <c r="E180">
        <v>0</v>
      </c>
    </row>
    <row r="181" spans="2:5" x14ac:dyDescent="0.25">
      <c r="B181" t="s">
        <v>164</v>
      </c>
      <c r="C181" t="s">
        <v>169</v>
      </c>
      <c r="D181" t="s">
        <v>170</v>
      </c>
      <c r="E181">
        <v>0</v>
      </c>
    </row>
    <row r="182" spans="2:5" x14ac:dyDescent="0.25">
      <c r="B182" t="s">
        <v>203</v>
      </c>
      <c r="C182" t="s">
        <v>204</v>
      </c>
      <c r="D182" t="s">
        <v>205</v>
      </c>
      <c r="E182">
        <v>5</v>
      </c>
    </row>
    <row r="183" spans="2:5" x14ac:dyDescent="0.25">
      <c r="B183" t="s">
        <v>206</v>
      </c>
      <c r="C183" t="s">
        <v>207</v>
      </c>
      <c r="D183" t="s">
        <v>208</v>
      </c>
      <c r="E183">
        <v>0</v>
      </c>
    </row>
    <row r="184" spans="2:5" x14ac:dyDescent="0.25">
      <c r="B184" t="s">
        <v>206</v>
      </c>
      <c r="C184" t="s">
        <v>207</v>
      </c>
      <c r="D184" t="s">
        <v>208</v>
      </c>
      <c r="E184">
        <v>0</v>
      </c>
    </row>
    <row r="185" spans="2:5" x14ac:dyDescent="0.25">
      <c r="B185" t="s">
        <v>209</v>
      </c>
      <c r="C185" t="s">
        <v>210</v>
      </c>
      <c r="D185" t="s">
        <v>211</v>
      </c>
      <c r="E185">
        <v>100</v>
      </c>
    </row>
    <row r="186" spans="2:5" x14ac:dyDescent="0.25">
      <c r="B186" t="s">
        <v>55</v>
      </c>
      <c r="C186" t="s">
        <v>212</v>
      </c>
      <c r="D186" t="s">
        <v>213</v>
      </c>
      <c r="E186">
        <v>3380</v>
      </c>
    </row>
    <row r="187" spans="2:5" x14ac:dyDescent="0.25">
      <c r="B187" t="s">
        <v>55</v>
      </c>
      <c r="C187" t="s">
        <v>212</v>
      </c>
      <c r="D187" t="s">
        <v>213</v>
      </c>
      <c r="E187">
        <v>0</v>
      </c>
    </row>
    <row r="188" spans="2:5" x14ac:dyDescent="0.25">
      <c r="B188" t="s">
        <v>55</v>
      </c>
      <c r="C188" t="s">
        <v>212</v>
      </c>
      <c r="D188" t="s">
        <v>213</v>
      </c>
      <c r="E188">
        <v>0</v>
      </c>
    </row>
    <row r="189" spans="2:5" x14ac:dyDescent="0.25">
      <c r="B189" t="s">
        <v>214</v>
      </c>
      <c r="C189" t="s">
        <v>215</v>
      </c>
      <c r="D189" t="s">
        <v>216</v>
      </c>
      <c r="E189">
        <v>0</v>
      </c>
    </row>
    <row r="190" spans="2:5" x14ac:dyDescent="0.25">
      <c r="B190" t="s">
        <v>214</v>
      </c>
      <c r="C190" t="s">
        <v>215</v>
      </c>
      <c r="D190" t="s">
        <v>216</v>
      </c>
      <c r="E190">
        <v>0</v>
      </c>
    </row>
    <row r="191" spans="2:5" x14ac:dyDescent="0.25">
      <c r="B191" t="s">
        <v>217</v>
      </c>
      <c r="C191" t="s">
        <v>218</v>
      </c>
      <c r="D191" t="s">
        <v>219</v>
      </c>
      <c r="E191">
        <v>1331</v>
      </c>
    </row>
    <row r="192" spans="2:5" x14ac:dyDescent="0.25">
      <c r="B192" t="s">
        <v>58</v>
      </c>
      <c r="C192" t="s">
        <v>220</v>
      </c>
      <c r="D192" t="s">
        <v>221</v>
      </c>
      <c r="E192">
        <v>0</v>
      </c>
    </row>
    <row r="193" spans="2:5" x14ac:dyDescent="0.25">
      <c r="B193" t="s">
        <v>222</v>
      </c>
      <c r="C193" t="s">
        <v>223</v>
      </c>
      <c r="D193" t="s">
        <v>224</v>
      </c>
      <c r="E193">
        <v>6420</v>
      </c>
    </row>
    <row r="194" spans="2:5" x14ac:dyDescent="0.25">
      <c r="B194" t="s">
        <v>222</v>
      </c>
      <c r="C194" t="s">
        <v>223</v>
      </c>
      <c r="D194" t="s">
        <v>224</v>
      </c>
      <c r="E194">
        <v>0</v>
      </c>
    </row>
    <row r="195" spans="2:5" x14ac:dyDescent="0.25">
      <c r="B195" t="s">
        <v>145</v>
      </c>
      <c r="C195" t="s">
        <v>225</v>
      </c>
      <c r="D195" t="s">
        <v>226</v>
      </c>
      <c r="E195">
        <v>820</v>
      </c>
    </row>
    <row r="196" spans="2:5" x14ac:dyDescent="0.25">
      <c r="B196" t="s">
        <v>145</v>
      </c>
      <c r="C196" t="s">
        <v>227</v>
      </c>
      <c r="D196" t="s">
        <v>228</v>
      </c>
      <c r="E196">
        <v>0</v>
      </c>
    </row>
    <row r="197" spans="2:5" x14ac:dyDescent="0.25">
      <c r="B197" t="s">
        <v>145</v>
      </c>
      <c r="C197" t="s">
        <v>227</v>
      </c>
      <c r="D197" t="s">
        <v>228</v>
      </c>
      <c r="E197">
        <v>0</v>
      </c>
    </row>
    <row r="198" spans="2:5" x14ac:dyDescent="0.25">
      <c r="B198" t="s">
        <v>145</v>
      </c>
      <c r="C198" t="s">
        <v>229</v>
      </c>
      <c r="D198" t="s">
        <v>230</v>
      </c>
      <c r="E198">
        <v>50</v>
      </c>
    </row>
    <row r="199" spans="2:5" x14ac:dyDescent="0.25">
      <c r="B199" t="s">
        <v>145</v>
      </c>
      <c r="C199" t="s">
        <v>229</v>
      </c>
      <c r="D199" t="s">
        <v>230</v>
      </c>
      <c r="E199">
        <v>0</v>
      </c>
    </row>
    <row r="200" spans="2:5" x14ac:dyDescent="0.25">
      <c r="B200" t="s">
        <v>61</v>
      </c>
      <c r="C200" t="s">
        <v>159</v>
      </c>
      <c r="D200" t="s">
        <v>160</v>
      </c>
      <c r="E200">
        <v>0</v>
      </c>
    </row>
    <row r="201" spans="2:5" x14ac:dyDescent="0.25">
      <c r="B201" t="s">
        <v>61</v>
      </c>
      <c r="C201" t="s">
        <v>231</v>
      </c>
      <c r="D201" t="s">
        <v>232</v>
      </c>
      <c r="E201">
        <v>940</v>
      </c>
    </row>
    <row r="202" spans="2:5" x14ac:dyDescent="0.25">
      <c r="B202" t="s">
        <v>61</v>
      </c>
      <c r="C202" t="s">
        <v>231</v>
      </c>
      <c r="D202" t="s">
        <v>232</v>
      </c>
      <c r="E202">
        <v>0</v>
      </c>
    </row>
    <row r="203" spans="2:5" x14ac:dyDescent="0.25">
      <c r="B203" t="s">
        <v>61</v>
      </c>
      <c r="C203" t="s">
        <v>231</v>
      </c>
      <c r="D203" t="s">
        <v>232</v>
      </c>
      <c r="E203">
        <v>0</v>
      </c>
    </row>
    <row r="204" spans="2:5" x14ac:dyDescent="0.25">
      <c r="B204" t="s">
        <v>61</v>
      </c>
      <c r="C204" t="s">
        <v>233</v>
      </c>
      <c r="D204" t="s">
        <v>234</v>
      </c>
      <c r="E204">
        <v>950</v>
      </c>
    </row>
    <row r="205" spans="2:5" x14ac:dyDescent="0.25">
      <c r="B205" t="s">
        <v>61</v>
      </c>
      <c r="C205" t="s">
        <v>233</v>
      </c>
      <c r="D205" t="s">
        <v>234</v>
      </c>
      <c r="E205">
        <v>0</v>
      </c>
    </row>
    <row r="206" spans="2:5" x14ac:dyDescent="0.25">
      <c r="B206" t="s">
        <v>73</v>
      </c>
      <c r="C206" t="s">
        <v>235</v>
      </c>
      <c r="D206" t="s">
        <v>236</v>
      </c>
      <c r="E206">
        <v>0</v>
      </c>
    </row>
    <row r="207" spans="2:5" x14ac:dyDescent="0.25">
      <c r="B207" t="s">
        <v>237</v>
      </c>
      <c r="C207" t="s">
        <v>238</v>
      </c>
      <c r="D207" t="s">
        <v>239</v>
      </c>
      <c r="E207">
        <v>130</v>
      </c>
    </row>
    <row r="208" spans="2:5" x14ac:dyDescent="0.25">
      <c r="B208" t="s">
        <v>237</v>
      </c>
      <c r="C208" t="s">
        <v>238</v>
      </c>
      <c r="D208" t="s">
        <v>239</v>
      </c>
      <c r="E208">
        <v>0</v>
      </c>
    </row>
    <row r="209" spans="2:5" x14ac:dyDescent="0.25">
      <c r="B209" t="s">
        <v>237</v>
      </c>
      <c r="C209" t="s">
        <v>238</v>
      </c>
      <c r="D209" t="s">
        <v>239</v>
      </c>
      <c r="E209">
        <v>0</v>
      </c>
    </row>
    <row r="210" spans="2:5" x14ac:dyDescent="0.25">
      <c r="B210" t="s">
        <v>80</v>
      </c>
      <c r="C210" t="s">
        <v>240</v>
      </c>
      <c r="D210" t="s">
        <v>241</v>
      </c>
      <c r="E210">
        <v>2205</v>
      </c>
    </row>
    <row r="211" spans="2:5" x14ac:dyDescent="0.25">
      <c r="B211" t="s">
        <v>80</v>
      </c>
      <c r="C211" t="s">
        <v>184</v>
      </c>
      <c r="D211" t="s">
        <v>185</v>
      </c>
      <c r="E211">
        <v>60</v>
      </c>
    </row>
    <row r="212" spans="2:5" x14ac:dyDescent="0.25">
      <c r="B212" t="s">
        <v>83</v>
      </c>
      <c r="C212" t="s">
        <v>242</v>
      </c>
      <c r="D212" t="s">
        <v>243</v>
      </c>
      <c r="E212">
        <v>465</v>
      </c>
    </row>
    <row r="213" spans="2:5" x14ac:dyDescent="0.25">
      <c r="B213" t="s">
        <v>83</v>
      </c>
      <c r="C213" t="s">
        <v>242</v>
      </c>
      <c r="D213" t="s">
        <v>243</v>
      </c>
      <c r="E213">
        <v>0</v>
      </c>
    </row>
    <row r="214" spans="2:5" x14ac:dyDescent="0.25">
      <c r="B214" t="s">
        <v>52</v>
      </c>
      <c r="C214" t="s">
        <v>244</v>
      </c>
      <c r="D214" t="s">
        <v>245</v>
      </c>
      <c r="E214">
        <v>0</v>
      </c>
    </row>
    <row r="215" spans="2:5" x14ac:dyDescent="0.25">
      <c r="B215" t="s">
        <v>52</v>
      </c>
      <c r="C215" t="s">
        <v>246</v>
      </c>
      <c r="D215" t="s">
        <v>247</v>
      </c>
      <c r="E215">
        <v>0</v>
      </c>
    </row>
    <row r="216" spans="2:5" x14ac:dyDescent="0.25">
      <c r="B216" t="s">
        <v>52</v>
      </c>
      <c r="C216" t="s">
        <v>246</v>
      </c>
      <c r="D216" t="s">
        <v>247</v>
      </c>
      <c r="E216">
        <v>0</v>
      </c>
    </row>
    <row r="217" spans="2:5" x14ac:dyDescent="0.25">
      <c r="B217" t="s">
        <v>52</v>
      </c>
      <c r="C217" t="s">
        <v>248</v>
      </c>
      <c r="D217" t="s">
        <v>249</v>
      </c>
      <c r="E217">
        <v>0</v>
      </c>
    </row>
    <row r="218" spans="2:5" x14ac:dyDescent="0.25">
      <c r="B218" t="s">
        <v>52</v>
      </c>
      <c r="C218" t="s">
        <v>248</v>
      </c>
      <c r="D218" t="s">
        <v>249</v>
      </c>
      <c r="E218">
        <v>0</v>
      </c>
    </row>
    <row r="219" spans="2:5" x14ac:dyDescent="0.25">
      <c r="B219" t="s">
        <v>128</v>
      </c>
      <c r="C219" t="s">
        <v>129</v>
      </c>
      <c r="D219" t="s">
        <v>130</v>
      </c>
      <c r="E219">
        <v>0</v>
      </c>
    </row>
    <row r="220" spans="2:5" x14ac:dyDescent="0.25">
      <c r="B220" t="s">
        <v>128</v>
      </c>
      <c r="C220" t="s">
        <v>129</v>
      </c>
      <c r="D220" t="s">
        <v>130</v>
      </c>
      <c r="E220">
        <v>0</v>
      </c>
    </row>
    <row r="221" spans="2:5" x14ac:dyDescent="0.25">
      <c r="B221" t="s">
        <v>128</v>
      </c>
      <c r="C221" t="s">
        <v>129</v>
      </c>
      <c r="D221" t="s">
        <v>130</v>
      </c>
      <c r="E221">
        <v>0</v>
      </c>
    </row>
    <row r="222" spans="2:5" x14ac:dyDescent="0.25">
      <c r="B222" t="s">
        <v>250</v>
      </c>
      <c r="C222" t="s">
        <v>251</v>
      </c>
      <c r="D222" t="s">
        <v>252</v>
      </c>
      <c r="E222">
        <v>0</v>
      </c>
    </row>
    <row r="223" spans="2:5" x14ac:dyDescent="0.25">
      <c r="B223" t="s">
        <v>128</v>
      </c>
      <c r="C223" t="s">
        <v>253</v>
      </c>
      <c r="D223" t="s">
        <v>254</v>
      </c>
      <c r="E223">
        <v>0</v>
      </c>
    </row>
    <row r="224" spans="2:5" x14ac:dyDescent="0.25">
      <c r="B224" t="s">
        <v>8</v>
      </c>
      <c r="C224" t="s">
        <v>171</v>
      </c>
      <c r="D224" t="s">
        <v>172</v>
      </c>
      <c r="E224">
        <v>135</v>
      </c>
    </row>
    <row r="225" spans="2:5" x14ac:dyDescent="0.25">
      <c r="B225" t="s">
        <v>17</v>
      </c>
      <c r="C225" t="s">
        <v>255</v>
      </c>
      <c r="D225" t="s">
        <v>256</v>
      </c>
      <c r="E225">
        <v>37220</v>
      </c>
    </row>
    <row r="226" spans="2:5" x14ac:dyDescent="0.25">
      <c r="B226" t="s">
        <v>17</v>
      </c>
      <c r="C226" t="s">
        <v>255</v>
      </c>
      <c r="D226" t="s">
        <v>256</v>
      </c>
      <c r="E226">
        <v>0</v>
      </c>
    </row>
    <row r="227" spans="2:5" x14ac:dyDescent="0.25">
      <c r="B227" t="s">
        <v>17</v>
      </c>
      <c r="C227" t="s">
        <v>255</v>
      </c>
      <c r="D227" t="s">
        <v>256</v>
      </c>
      <c r="E227">
        <v>0</v>
      </c>
    </row>
    <row r="228" spans="2:5" x14ac:dyDescent="0.25">
      <c r="B228" t="s">
        <v>20</v>
      </c>
      <c r="C228" t="s">
        <v>173</v>
      </c>
      <c r="D228" t="s">
        <v>174</v>
      </c>
      <c r="E228">
        <v>1930</v>
      </c>
    </row>
    <row r="229" spans="2:5" x14ac:dyDescent="0.25">
      <c r="B229" t="s">
        <v>20</v>
      </c>
      <c r="C229" t="s">
        <v>173</v>
      </c>
      <c r="D229" t="s">
        <v>174</v>
      </c>
      <c r="E229">
        <v>0</v>
      </c>
    </row>
    <row r="230" spans="2:5" x14ac:dyDescent="0.25">
      <c r="B230" t="s">
        <v>20</v>
      </c>
      <c r="C230" t="s">
        <v>257</v>
      </c>
      <c r="D230" t="s">
        <v>258</v>
      </c>
      <c r="E230">
        <v>180</v>
      </c>
    </row>
    <row r="231" spans="2:5" x14ac:dyDescent="0.25">
      <c r="B231" t="s">
        <v>20</v>
      </c>
      <c r="C231" t="s">
        <v>259</v>
      </c>
      <c r="D231" t="s">
        <v>260</v>
      </c>
      <c r="E231">
        <v>640</v>
      </c>
    </row>
    <row r="232" spans="2:5" x14ac:dyDescent="0.25">
      <c r="B232" t="s">
        <v>261</v>
      </c>
      <c r="C232" t="s">
        <v>262</v>
      </c>
      <c r="D232" t="s">
        <v>263</v>
      </c>
      <c r="E232">
        <v>0</v>
      </c>
    </row>
    <row r="233" spans="2:5" x14ac:dyDescent="0.25">
      <c r="B233" t="s">
        <v>261</v>
      </c>
      <c r="C233" t="s">
        <v>264</v>
      </c>
      <c r="D233" t="s">
        <v>265</v>
      </c>
      <c r="E233">
        <v>128</v>
      </c>
    </row>
    <row r="234" spans="2:5" x14ac:dyDescent="0.25">
      <c r="B234" t="s">
        <v>261</v>
      </c>
      <c r="C234" t="s">
        <v>264</v>
      </c>
      <c r="D234" t="s">
        <v>265</v>
      </c>
      <c r="E234">
        <v>636</v>
      </c>
    </row>
    <row r="235" spans="2:5" x14ac:dyDescent="0.25">
      <c r="B235" t="s">
        <v>49</v>
      </c>
      <c r="C235" t="s">
        <v>50</v>
      </c>
      <c r="D235" t="s">
        <v>51</v>
      </c>
      <c r="E235">
        <v>4805</v>
      </c>
    </row>
    <row r="236" spans="2:5" x14ac:dyDescent="0.25">
      <c r="B236" t="s">
        <v>763</v>
      </c>
      <c r="C236" t="s">
        <v>764</v>
      </c>
      <c r="D236" t="s">
        <v>765</v>
      </c>
      <c r="E236">
        <v>0</v>
      </c>
    </row>
    <row r="237" spans="2:5" x14ac:dyDescent="0.25">
      <c r="B237" t="s">
        <v>131</v>
      </c>
      <c r="C237" t="s">
        <v>766</v>
      </c>
      <c r="D237" t="s">
        <v>767</v>
      </c>
      <c r="E237">
        <v>0</v>
      </c>
    </row>
    <row r="238" spans="2:5" x14ac:dyDescent="0.25">
      <c r="B238" t="s">
        <v>161</v>
      </c>
      <c r="C238" t="s">
        <v>162</v>
      </c>
      <c r="D238" t="s">
        <v>163</v>
      </c>
      <c r="E238">
        <v>104</v>
      </c>
    </row>
    <row r="239" spans="2:5" x14ac:dyDescent="0.25">
      <c r="B239" t="s">
        <v>266</v>
      </c>
      <c r="C239" t="s">
        <v>267</v>
      </c>
      <c r="D239" t="s">
        <v>268</v>
      </c>
      <c r="E239">
        <v>500</v>
      </c>
    </row>
    <row r="240" spans="2:5" x14ac:dyDescent="0.25">
      <c r="B240" t="s">
        <v>40</v>
      </c>
      <c r="C240" t="s">
        <v>41</v>
      </c>
      <c r="D240" t="s">
        <v>42</v>
      </c>
      <c r="E240">
        <v>0</v>
      </c>
    </row>
    <row r="241" spans="2:5" x14ac:dyDescent="0.25">
      <c r="B241" t="s">
        <v>20</v>
      </c>
      <c r="C241" t="s">
        <v>21</v>
      </c>
      <c r="D241" t="s">
        <v>22</v>
      </c>
      <c r="E241">
        <v>0</v>
      </c>
    </row>
    <row r="242" spans="2:5" x14ac:dyDescent="0.25">
      <c r="B242" t="s">
        <v>269</v>
      </c>
      <c r="C242" t="s">
        <v>270</v>
      </c>
      <c r="D242" t="s">
        <v>271</v>
      </c>
      <c r="E242">
        <v>0</v>
      </c>
    </row>
    <row r="243" spans="2:5" x14ac:dyDescent="0.25">
      <c r="B243" t="s">
        <v>217</v>
      </c>
      <c r="C243" t="s">
        <v>218</v>
      </c>
      <c r="D243" t="s">
        <v>219</v>
      </c>
      <c r="E243">
        <v>0</v>
      </c>
    </row>
    <row r="244" spans="2:5" x14ac:dyDescent="0.25">
      <c r="B244" t="s">
        <v>120</v>
      </c>
      <c r="C244" t="s">
        <v>180</v>
      </c>
      <c r="D244" t="s">
        <v>181</v>
      </c>
      <c r="E244">
        <v>0</v>
      </c>
    </row>
    <row r="245" spans="2:5" x14ac:dyDescent="0.25">
      <c r="B245" t="s">
        <v>272</v>
      </c>
      <c r="C245" t="s">
        <v>273</v>
      </c>
      <c r="D245" t="s">
        <v>274</v>
      </c>
      <c r="E245">
        <v>0</v>
      </c>
    </row>
    <row r="246" spans="2:5" x14ac:dyDescent="0.25">
      <c r="B246" t="s">
        <v>20</v>
      </c>
      <c r="C246" t="s">
        <v>173</v>
      </c>
      <c r="D246" t="s">
        <v>174</v>
      </c>
      <c r="E246">
        <v>0</v>
      </c>
    </row>
    <row r="247" spans="2:5" x14ac:dyDescent="0.25">
      <c r="B247" t="s">
        <v>25</v>
      </c>
      <c r="C247" t="s">
        <v>26</v>
      </c>
      <c r="D247" t="s">
        <v>27</v>
      </c>
      <c r="E247">
        <v>0</v>
      </c>
    </row>
    <row r="248" spans="2:5" x14ac:dyDescent="0.25">
      <c r="B248" t="s">
        <v>275</v>
      </c>
      <c r="C248" t="s">
        <v>276</v>
      </c>
      <c r="D248" t="s">
        <v>277</v>
      </c>
      <c r="E248">
        <v>0</v>
      </c>
    </row>
    <row r="249" spans="2:5" x14ac:dyDescent="0.25">
      <c r="B249" t="s">
        <v>91</v>
      </c>
      <c r="C249" t="s">
        <v>278</v>
      </c>
      <c r="D249" t="s">
        <v>279</v>
      </c>
      <c r="E249">
        <v>0</v>
      </c>
    </row>
    <row r="250" spans="2:5" x14ac:dyDescent="0.25">
      <c r="B250" t="s">
        <v>55</v>
      </c>
      <c r="C250" t="s">
        <v>280</v>
      </c>
      <c r="D250" t="s">
        <v>281</v>
      </c>
      <c r="E250">
        <v>0</v>
      </c>
    </row>
    <row r="251" spans="2:5" x14ac:dyDescent="0.25">
      <c r="B251" t="s">
        <v>8</v>
      </c>
      <c r="C251" t="s">
        <v>282</v>
      </c>
      <c r="D251" t="s">
        <v>283</v>
      </c>
      <c r="E251">
        <v>0</v>
      </c>
    </row>
    <row r="252" spans="2:5" x14ac:dyDescent="0.25">
      <c r="B252" t="s">
        <v>8</v>
      </c>
      <c r="C252" t="s">
        <v>284</v>
      </c>
      <c r="D252" t="s">
        <v>285</v>
      </c>
      <c r="E252">
        <v>0</v>
      </c>
    </row>
    <row r="253" spans="2:5" x14ac:dyDescent="0.25">
      <c r="B253" t="s">
        <v>25</v>
      </c>
      <c r="C253" t="s">
        <v>286</v>
      </c>
      <c r="D253" t="s">
        <v>287</v>
      </c>
      <c r="E253">
        <v>0</v>
      </c>
    </row>
    <row r="254" spans="2:5" x14ac:dyDescent="0.25">
      <c r="B254" t="s">
        <v>261</v>
      </c>
      <c r="C254" t="s">
        <v>288</v>
      </c>
      <c r="D254" t="s">
        <v>289</v>
      </c>
      <c r="E254">
        <v>0</v>
      </c>
    </row>
    <row r="255" spans="2:5" x14ac:dyDescent="0.25">
      <c r="B255" t="s">
        <v>261</v>
      </c>
      <c r="C255" t="s">
        <v>290</v>
      </c>
      <c r="D255" t="s">
        <v>291</v>
      </c>
      <c r="E255">
        <v>0</v>
      </c>
    </row>
    <row r="256" spans="2:5" x14ac:dyDescent="0.25">
      <c r="B256" t="s">
        <v>14</v>
      </c>
      <c r="C256" t="s">
        <v>292</v>
      </c>
      <c r="D256" t="s">
        <v>293</v>
      </c>
      <c r="E256">
        <v>0</v>
      </c>
    </row>
    <row r="257" spans="2:5" x14ac:dyDescent="0.25">
      <c r="B257" t="s">
        <v>52</v>
      </c>
      <c r="C257" t="s">
        <v>294</v>
      </c>
      <c r="D257" t="s">
        <v>295</v>
      </c>
      <c r="E257">
        <v>0</v>
      </c>
    </row>
    <row r="258" spans="2:5" x14ac:dyDescent="0.25">
      <c r="B258" t="s">
        <v>8</v>
      </c>
      <c r="C258" t="s">
        <v>171</v>
      </c>
      <c r="D258" t="s">
        <v>172</v>
      </c>
      <c r="E258">
        <v>0</v>
      </c>
    </row>
    <row r="259" spans="2:5" x14ac:dyDescent="0.25">
      <c r="B259" t="s">
        <v>438</v>
      </c>
      <c r="C259" t="s">
        <v>439</v>
      </c>
      <c r="D259" t="s">
        <v>440</v>
      </c>
      <c r="E259">
        <v>0</v>
      </c>
    </row>
    <row r="260" spans="2:5" x14ac:dyDescent="0.25">
      <c r="B260" t="s">
        <v>195</v>
      </c>
      <c r="C260" t="s">
        <v>331</v>
      </c>
      <c r="D260" t="s">
        <v>332</v>
      </c>
      <c r="E260">
        <v>0</v>
      </c>
    </row>
    <row r="261" spans="2:5" x14ac:dyDescent="0.25">
      <c r="B261" t="s">
        <v>117</v>
      </c>
      <c r="C261" t="s">
        <v>441</v>
      </c>
      <c r="D261" t="s">
        <v>442</v>
      </c>
      <c r="E261">
        <v>0</v>
      </c>
    </row>
    <row r="262" spans="2:5" x14ac:dyDescent="0.25">
      <c r="B262" t="s">
        <v>164</v>
      </c>
      <c r="C262" t="s">
        <v>443</v>
      </c>
      <c r="D262" t="s">
        <v>444</v>
      </c>
      <c r="E262">
        <v>0</v>
      </c>
    </row>
    <row r="263" spans="2:5" x14ac:dyDescent="0.25">
      <c r="B263" t="s">
        <v>203</v>
      </c>
      <c r="C263" t="s">
        <v>445</v>
      </c>
      <c r="D263" t="s">
        <v>446</v>
      </c>
      <c r="E263">
        <v>42</v>
      </c>
    </row>
    <row r="264" spans="2:5" x14ac:dyDescent="0.25">
      <c r="B264" t="s">
        <v>203</v>
      </c>
      <c r="C264" t="s">
        <v>447</v>
      </c>
      <c r="D264" t="s">
        <v>448</v>
      </c>
      <c r="E264">
        <v>0</v>
      </c>
    </row>
    <row r="265" spans="2:5" x14ac:dyDescent="0.25">
      <c r="B265" t="s">
        <v>203</v>
      </c>
      <c r="C265" t="s">
        <v>447</v>
      </c>
      <c r="D265" t="s">
        <v>448</v>
      </c>
      <c r="E265">
        <v>0</v>
      </c>
    </row>
    <row r="266" spans="2:5" x14ac:dyDescent="0.25">
      <c r="B266" t="s">
        <v>203</v>
      </c>
      <c r="C266" t="s">
        <v>449</v>
      </c>
      <c r="D266" t="s">
        <v>450</v>
      </c>
      <c r="E266">
        <v>0</v>
      </c>
    </row>
    <row r="267" spans="2:5" x14ac:dyDescent="0.25">
      <c r="B267" t="s">
        <v>203</v>
      </c>
      <c r="C267" t="s">
        <v>449</v>
      </c>
      <c r="D267" t="s">
        <v>450</v>
      </c>
      <c r="E267">
        <v>0</v>
      </c>
    </row>
    <row r="268" spans="2:5" x14ac:dyDescent="0.25">
      <c r="B268" t="s">
        <v>206</v>
      </c>
      <c r="C268" t="s">
        <v>451</v>
      </c>
      <c r="D268" t="s">
        <v>452</v>
      </c>
      <c r="E268">
        <v>0</v>
      </c>
    </row>
    <row r="269" spans="2:5" x14ac:dyDescent="0.25">
      <c r="B269" t="s">
        <v>206</v>
      </c>
      <c r="C269" t="s">
        <v>451</v>
      </c>
      <c r="D269" t="s">
        <v>452</v>
      </c>
      <c r="E269">
        <v>0</v>
      </c>
    </row>
    <row r="270" spans="2:5" x14ac:dyDescent="0.25">
      <c r="B270" t="s">
        <v>206</v>
      </c>
      <c r="C270" t="s">
        <v>451</v>
      </c>
      <c r="D270" t="s">
        <v>452</v>
      </c>
      <c r="E270">
        <v>0</v>
      </c>
    </row>
    <row r="271" spans="2:5" x14ac:dyDescent="0.25">
      <c r="B271" t="s">
        <v>209</v>
      </c>
      <c r="C271" t="s">
        <v>850</v>
      </c>
      <c r="D271" t="s">
        <v>851</v>
      </c>
      <c r="E271">
        <v>12</v>
      </c>
    </row>
    <row r="272" spans="2:5" x14ac:dyDescent="0.25">
      <c r="B272" t="s">
        <v>55</v>
      </c>
      <c r="C272" t="s">
        <v>852</v>
      </c>
      <c r="D272" t="s">
        <v>853</v>
      </c>
      <c r="E272">
        <v>0</v>
      </c>
    </row>
    <row r="273" spans="2:5" x14ac:dyDescent="0.25">
      <c r="B273" t="s">
        <v>58</v>
      </c>
      <c r="C273" t="s">
        <v>383</v>
      </c>
      <c r="D273" t="s">
        <v>384</v>
      </c>
      <c r="E273">
        <v>480</v>
      </c>
    </row>
    <row r="274" spans="2:5" x14ac:dyDescent="0.25">
      <c r="B274" t="s">
        <v>145</v>
      </c>
      <c r="C274" t="s">
        <v>854</v>
      </c>
      <c r="D274" t="s">
        <v>855</v>
      </c>
      <c r="E274">
        <v>0</v>
      </c>
    </row>
    <row r="275" spans="2:5" x14ac:dyDescent="0.25">
      <c r="B275" t="s">
        <v>145</v>
      </c>
      <c r="C275" t="s">
        <v>854</v>
      </c>
      <c r="D275" t="s">
        <v>855</v>
      </c>
      <c r="E275">
        <v>0</v>
      </c>
    </row>
    <row r="276" spans="2:5" x14ac:dyDescent="0.25">
      <c r="B276" t="s">
        <v>64</v>
      </c>
      <c r="C276" t="s">
        <v>856</v>
      </c>
      <c r="D276" t="s">
        <v>857</v>
      </c>
      <c r="E276">
        <v>235</v>
      </c>
    </row>
    <row r="277" spans="2:5" x14ac:dyDescent="0.25">
      <c r="B277" t="s">
        <v>64</v>
      </c>
      <c r="C277" t="s">
        <v>856</v>
      </c>
      <c r="D277" t="s">
        <v>857</v>
      </c>
      <c r="E277">
        <v>0</v>
      </c>
    </row>
    <row r="278" spans="2:5" x14ac:dyDescent="0.25">
      <c r="B278" t="s">
        <v>64</v>
      </c>
      <c r="C278" t="s">
        <v>856</v>
      </c>
      <c r="D278" t="s">
        <v>857</v>
      </c>
      <c r="E278">
        <v>0</v>
      </c>
    </row>
    <row r="279" spans="2:5" x14ac:dyDescent="0.25">
      <c r="B279" t="s">
        <v>64</v>
      </c>
      <c r="C279" t="s">
        <v>858</v>
      </c>
      <c r="D279" t="s">
        <v>859</v>
      </c>
      <c r="E279">
        <v>400</v>
      </c>
    </row>
    <row r="280" spans="2:5" x14ac:dyDescent="0.25">
      <c r="B280" t="s">
        <v>328</v>
      </c>
      <c r="C280" t="s">
        <v>329</v>
      </c>
      <c r="D280" t="s">
        <v>330</v>
      </c>
      <c r="E280">
        <v>0</v>
      </c>
    </row>
    <row r="281" spans="2:5" x14ac:dyDescent="0.25">
      <c r="B281" t="s">
        <v>70</v>
      </c>
      <c r="C281" t="s">
        <v>333</v>
      </c>
      <c r="D281" t="s">
        <v>334</v>
      </c>
      <c r="E281">
        <v>155</v>
      </c>
    </row>
    <row r="282" spans="2:5" x14ac:dyDescent="0.25">
      <c r="B282" t="s">
        <v>70</v>
      </c>
      <c r="C282" t="s">
        <v>388</v>
      </c>
      <c r="D282" t="s">
        <v>389</v>
      </c>
      <c r="E282">
        <v>260</v>
      </c>
    </row>
    <row r="283" spans="2:5" x14ac:dyDescent="0.25">
      <c r="B283" t="s">
        <v>860</v>
      </c>
      <c r="C283" t="s">
        <v>861</v>
      </c>
      <c r="D283" t="s">
        <v>862</v>
      </c>
      <c r="E283">
        <v>0</v>
      </c>
    </row>
    <row r="284" spans="2:5" x14ac:dyDescent="0.25">
      <c r="B284" t="s">
        <v>352</v>
      </c>
      <c r="C284" t="s">
        <v>863</v>
      </c>
      <c r="D284" t="s">
        <v>864</v>
      </c>
      <c r="E284">
        <v>0</v>
      </c>
    </row>
    <row r="285" spans="2:5" x14ac:dyDescent="0.25">
      <c r="B285" t="s">
        <v>352</v>
      </c>
      <c r="C285" t="s">
        <v>865</v>
      </c>
      <c r="D285" t="s">
        <v>866</v>
      </c>
      <c r="E285">
        <v>0</v>
      </c>
    </row>
    <row r="286" spans="2:5" x14ac:dyDescent="0.25">
      <c r="B286" t="s">
        <v>352</v>
      </c>
      <c r="C286" t="s">
        <v>867</v>
      </c>
      <c r="D286" t="s">
        <v>868</v>
      </c>
      <c r="E286">
        <v>0</v>
      </c>
    </row>
    <row r="287" spans="2:5" x14ac:dyDescent="0.25">
      <c r="B287" t="s">
        <v>352</v>
      </c>
      <c r="C287" t="s">
        <v>867</v>
      </c>
      <c r="D287" t="s">
        <v>868</v>
      </c>
      <c r="E287">
        <v>0</v>
      </c>
    </row>
    <row r="288" spans="2:5" x14ac:dyDescent="0.25">
      <c r="B288" t="s">
        <v>11</v>
      </c>
      <c r="C288" t="s">
        <v>869</v>
      </c>
      <c r="D288" t="s">
        <v>870</v>
      </c>
      <c r="E288">
        <v>0</v>
      </c>
    </row>
    <row r="289" spans="2:5" x14ac:dyDescent="0.25">
      <c r="B289" t="s">
        <v>11</v>
      </c>
      <c r="C289" t="s">
        <v>869</v>
      </c>
      <c r="D289" t="s">
        <v>870</v>
      </c>
      <c r="E289">
        <v>0</v>
      </c>
    </row>
    <row r="290" spans="2:5" x14ac:dyDescent="0.25">
      <c r="B290" t="s">
        <v>623</v>
      </c>
      <c r="C290" t="s">
        <v>871</v>
      </c>
      <c r="D290" t="s">
        <v>872</v>
      </c>
      <c r="E290">
        <v>5220</v>
      </c>
    </row>
    <row r="291" spans="2:5" x14ac:dyDescent="0.25">
      <c r="B291" t="s">
        <v>623</v>
      </c>
      <c r="C291" t="s">
        <v>871</v>
      </c>
      <c r="D291" t="s">
        <v>872</v>
      </c>
      <c r="E291">
        <v>0</v>
      </c>
    </row>
    <row r="292" spans="2:5" x14ac:dyDescent="0.25">
      <c r="B292" t="s">
        <v>623</v>
      </c>
      <c r="C292" t="s">
        <v>871</v>
      </c>
      <c r="D292" t="s">
        <v>872</v>
      </c>
      <c r="E292">
        <v>0</v>
      </c>
    </row>
    <row r="293" spans="2:5" x14ac:dyDescent="0.25">
      <c r="B293" t="s">
        <v>52</v>
      </c>
      <c r="C293" t="s">
        <v>873</v>
      </c>
      <c r="D293" t="s">
        <v>874</v>
      </c>
      <c r="E293">
        <v>8</v>
      </c>
    </row>
    <row r="294" spans="2:5" x14ac:dyDescent="0.25">
      <c r="B294" t="s">
        <v>518</v>
      </c>
      <c r="C294" t="s">
        <v>875</v>
      </c>
      <c r="D294" t="s">
        <v>876</v>
      </c>
      <c r="E294">
        <v>0</v>
      </c>
    </row>
    <row r="295" spans="2:5" x14ac:dyDescent="0.25">
      <c r="B295" t="s">
        <v>521</v>
      </c>
      <c r="C295" t="s">
        <v>877</v>
      </c>
      <c r="D295" t="s">
        <v>878</v>
      </c>
      <c r="E295">
        <v>0</v>
      </c>
    </row>
    <row r="296" spans="2:5" x14ac:dyDescent="0.25">
      <c r="B296" t="s">
        <v>521</v>
      </c>
      <c r="C296" t="s">
        <v>877</v>
      </c>
      <c r="D296" t="s">
        <v>878</v>
      </c>
      <c r="E296">
        <v>0</v>
      </c>
    </row>
    <row r="297" spans="2:5" x14ac:dyDescent="0.25">
      <c r="B297" t="s">
        <v>521</v>
      </c>
      <c r="C297" t="s">
        <v>879</v>
      </c>
      <c r="D297" t="s">
        <v>880</v>
      </c>
      <c r="E297">
        <v>0</v>
      </c>
    </row>
    <row r="298" spans="2:5" x14ac:dyDescent="0.25">
      <c r="B298" t="s">
        <v>521</v>
      </c>
      <c r="C298" t="s">
        <v>879</v>
      </c>
      <c r="D298" t="s">
        <v>880</v>
      </c>
      <c r="E298">
        <v>0</v>
      </c>
    </row>
    <row r="299" spans="2:5" x14ac:dyDescent="0.25">
      <c r="B299" t="s">
        <v>687</v>
      </c>
      <c r="C299" t="s">
        <v>881</v>
      </c>
      <c r="D299" t="s">
        <v>882</v>
      </c>
      <c r="E299">
        <v>0</v>
      </c>
    </row>
    <row r="300" spans="2:5" x14ac:dyDescent="0.25">
      <c r="B300" t="s">
        <v>687</v>
      </c>
      <c r="C300" t="s">
        <v>881</v>
      </c>
      <c r="D300" t="s">
        <v>882</v>
      </c>
      <c r="E300">
        <v>0</v>
      </c>
    </row>
    <row r="301" spans="2:5" x14ac:dyDescent="0.25">
      <c r="B301" t="s">
        <v>8</v>
      </c>
      <c r="C301" t="s">
        <v>883</v>
      </c>
      <c r="D301" t="s">
        <v>884</v>
      </c>
      <c r="E301">
        <v>0</v>
      </c>
    </row>
    <row r="302" spans="2:5" x14ac:dyDescent="0.25">
      <c r="B302" t="s">
        <v>8</v>
      </c>
      <c r="C302" t="s">
        <v>885</v>
      </c>
      <c r="D302" t="s">
        <v>886</v>
      </c>
      <c r="E302">
        <v>0</v>
      </c>
    </row>
    <row r="303" spans="2:5" x14ac:dyDescent="0.25">
      <c r="B303" t="s">
        <v>8</v>
      </c>
      <c r="C303" t="s">
        <v>885</v>
      </c>
      <c r="D303" t="s">
        <v>886</v>
      </c>
      <c r="E303">
        <v>0</v>
      </c>
    </row>
    <row r="304" spans="2:5" x14ac:dyDescent="0.25">
      <c r="B304" t="s">
        <v>8</v>
      </c>
      <c r="C304" t="s">
        <v>300</v>
      </c>
      <c r="D304" t="s">
        <v>301</v>
      </c>
      <c r="E304">
        <v>0</v>
      </c>
    </row>
    <row r="305" spans="2:5" x14ac:dyDescent="0.25">
      <c r="B305" t="s">
        <v>887</v>
      </c>
      <c r="C305" t="s">
        <v>888</v>
      </c>
      <c r="D305" t="s">
        <v>889</v>
      </c>
      <c r="E305">
        <v>0</v>
      </c>
    </row>
    <row r="306" spans="2:5" x14ac:dyDescent="0.25">
      <c r="B306" t="s">
        <v>34</v>
      </c>
      <c r="C306" t="s">
        <v>890</v>
      </c>
      <c r="D306" t="s">
        <v>891</v>
      </c>
      <c r="E306">
        <v>0</v>
      </c>
    </row>
    <row r="307" spans="2:5" x14ac:dyDescent="0.25">
      <c r="B307" t="s">
        <v>261</v>
      </c>
      <c r="C307" t="s">
        <v>892</v>
      </c>
      <c r="D307" t="s">
        <v>893</v>
      </c>
      <c r="E307">
        <v>6620</v>
      </c>
    </row>
    <row r="308" spans="2:5" x14ac:dyDescent="0.25">
      <c r="B308" t="s">
        <v>14</v>
      </c>
      <c r="C308" t="s">
        <v>320</v>
      </c>
      <c r="D308" t="s">
        <v>321</v>
      </c>
      <c r="E308">
        <v>0</v>
      </c>
    </row>
    <row r="309" spans="2:5" x14ac:dyDescent="0.25">
      <c r="B309" t="s">
        <v>49</v>
      </c>
      <c r="C309" t="s">
        <v>894</v>
      </c>
      <c r="D309" t="s">
        <v>895</v>
      </c>
      <c r="E309">
        <v>0</v>
      </c>
    </row>
    <row r="310" spans="2:5" x14ac:dyDescent="0.25">
      <c r="B310" t="s">
        <v>49</v>
      </c>
      <c r="C310" t="s">
        <v>894</v>
      </c>
      <c r="D310" t="s">
        <v>895</v>
      </c>
      <c r="E310">
        <v>0</v>
      </c>
    </row>
    <row r="311" spans="2:5" x14ac:dyDescent="0.25">
      <c r="B311" t="s">
        <v>261</v>
      </c>
      <c r="C311" t="s">
        <v>892</v>
      </c>
      <c r="D311" t="s">
        <v>893</v>
      </c>
      <c r="E311">
        <v>1400</v>
      </c>
    </row>
    <row r="312" spans="2:5" x14ac:dyDescent="0.25">
      <c r="B312" t="s">
        <v>131</v>
      </c>
      <c r="C312" t="s">
        <v>927</v>
      </c>
      <c r="D312" t="s">
        <v>928</v>
      </c>
      <c r="E312">
        <v>0</v>
      </c>
    </row>
    <row r="313" spans="2:5" x14ac:dyDescent="0.25">
      <c r="B313" t="s">
        <v>70</v>
      </c>
      <c r="C313" t="s">
        <v>929</v>
      </c>
      <c r="D313" t="s">
        <v>930</v>
      </c>
      <c r="E313">
        <v>0</v>
      </c>
    </row>
    <row r="314" spans="2:5" x14ac:dyDescent="0.25">
      <c r="B314" t="s">
        <v>217</v>
      </c>
      <c r="C314" t="s">
        <v>931</v>
      </c>
      <c r="D314" t="s">
        <v>932</v>
      </c>
      <c r="E314">
        <v>0</v>
      </c>
    </row>
    <row r="315" spans="2:5" x14ac:dyDescent="0.25">
      <c r="B315" t="s">
        <v>896</v>
      </c>
      <c r="C315" t="s">
        <v>897</v>
      </c>
      <c r="D315" t="s">
        <v>898</v>
      </c>
      <c r="E315">
        <v>120</v>
      </c>
    </row>
    <row r="316" spans="2:5" x14ac:dyDescent="0.25">
      <c r="B316" t="s">
        <v>164</v>
      </c>
      <c r="C316" t="s">
        <v>899</v>
      </c>
      <c r="D316" t="s">
        <v>900</v>
      </c>
      <c r="E316">
        <v>45</v>
      </c>
    </row>
    <row r="317" spans="2:5" x14ac:dyDescent="0.25">
      <c r="B317" t="s">
        <v>120</v>
      </c>
      <c r="C317" t="s">
        <v>901</v>
      </c>
      <c r="D317" t="s">
        <v>902</v>
      </c>
      <c r="E317">
        <v>0</v>
      </c>
    </row>
    <row r="318" spans="2:5" x14ac:dyDescent="0.25">
      <c r="B318" t="s">
        <v>352</v>
      </c>
      <c r="C318" t="s">
        <v>398</v>
      </c>
      <c r="D318" t="s">
        <v>399</v>
      </c>
      <c r="E318">
        <v>0</v>
      </c>
    </row>
    <row r="319" spans="2:5" x14ac:dyDescent="0.25">
      <c r="B319" t="s">
        <v>306</v>
      </c>
      <c r="C319" t="s">
        <v>307</v>
      </c>
      <c r="D319" t="s">
        <v>308</v>
      </c>
      <c r="E319">
        <v>0</v>
      </c>
    </row>
    <row r="320" spans="2:5" x14ac:dyDescent="0.25">
      <c r="B320" t="s">
        <v>134</v>
      </c>
      <c r="C320" t="s">
        <v>903</v>
      </c>
      <c r="D320" t="s">
        <v>904</v>
      </c>
      <c r="E320">
        <v>4320</v>
      </c>
    </row>
    <row r="321" spans="2:5" x14ac:dyDescent="0.25">
      <c r="B321" t="s">
        <v>91</v>
      </c>
      <c r="C321" t="s">
        <v>326</v>
      </c>
      <c r="D321" t="s">
        <v>327</v>
      </c>
      <c r="E321">
        <v>0</v>
      </c>
    </row>
    <row r="322" spans="2:5" x14ac:dyDescent="0.25">
      <c r="B322" t="s">
        <v>91</v>
      </c>
      <c r="C322" t="s">
        <v>905</v>
      </c>
      <c r="D322" t="s">
        <v>906</v>
      </c>
      <c r="E322">
        <v>0</v>
      </c>
    </row>
    <row r="323" spans="2:5" x14ac:dyDescent="0.25">
      <c r="B323" t="s">
        <v>8</v>
      </c>
      <c r="C323" t="s">
        <v>907</v>
      </c>
      <c r="D323" t="s">
        <v>908</v>
      </c>
      <c r="E323">
        <v>0</v>
      </c>
    </row>
    <row r="324" spans="2:5" x14ac:dyDescent="0.25">
      <c r="B324" t="s">
        <v>8</v>
      </c>
      <c r="C324" t="s">
        <v>909</v>
      </c>
      <c r="D324" t="s">
        <v>910</v>
      </c>
      <c r="E324">
        <v>0</v>
      </c>
    </row>
    <row r="325" spans="2:5" x14ac:dyDescent="0.25">
      <c r="B325" t="s">
        <v>31</v>
      </c>
      <c r="C325" t="s">
        <v>911</v>
      </c>
      <c r="D325" t="s">
        <v>912</v>
      </c>
      <c r="E325">
        <v>0</v>
      </c>
    </row>
    <row r="326" spans="2:5" x14ac:dyDescent="0.25">
      <c r="B326" t="s">
        <v>25</v>
      </c>
      <c r="C326" t="s">
        <v>913</v>
      </c>
      <c r="D326" t="s">
        <v>914</v>
      </c>
      <c r="E326">
        <v>0</v>
      </c>
    </row>
    <row r="327" spans="2:5" x14ac:dyDescent="0.25">
      <c r="B327" t="s">
        <v>25</v>
      </c>
      <c r="C327" t="s">
        <v>915</v>
      </c>
      <c r="D327" t="s">
        <v>916</v>
      </c>
      <c r="E327">
        <v>0</v>
      </c>
    </row>
    <row r="328" spans="2:5" x14ac:dyDescent="0.25">
      <c r="B328" t="s">
        <v>25</v>
      </c>
      <c r="C328" t="s">
        <v>917</v>
      </c>
      <c r="D328" t="s">
        <v>918</v>
      </c>
      <c r="E328">
        <v>0</v>
      </c>
    </row>
    <row r="329" spans="2:5" x14ac:dyDescent="0.25">
      <c r="B329" t="s">
        <v>261</v>
      </c>
      <c r="C329" t="s">
        <v>919</v>
      </c>
      <c r="D329" t="s">
        <v>920</v>
      </c>
      <c r="E329">
        <v>0</v>
      </c>
    </row>
    <row r="330" spans="2:5" x14ac:dyDescent="0.25">
      <c r="B330" t="s">
        <v>14</v>
      </c>
      <c r="C330" t="s">
        <v>921</v>
      </c>
      <c r="D330" t="s">
        <v>922</v>
      </c>
      <c r="E330">
        <v>0</v>
      </c>
    </row>
    <row r="331" spans="2:5" x14ac:dyDescent="0.25">
      <c r="B331" t="s">
        <v>209</v>
      </c>
      <c r="C331" t="s">
        <v>850</v>
      </c>
      <c r="D331" t="s">
        <v>851</v>
      </c>
      <c r="E331">
        <v>0</v>
      </c>
    </row>
    <row r="332" spans="2:5" x14ac:dyDescent="0.25">
      <c r="B332" t="s">
        <v>148</v>
      </c>
      <c r="C332" t="s">
        <v>923</v>
      </c>
      <c r="D332" t="s">
        <v>924</v>
      </c>
      <c r="E332">
        <v>0</v>
      </c>
    </row>
    <row r="333" spans="2:5" x14ac:dyDescent="0.25">
      <c r="B333" t="s">
        <v>623</v>
      </c>
      <c r="C333" t="s">
        <v>925</v>
      </c>
      <c r="D333" t="s">
        <v>926</v>
      </c>
      <c r="E333">
        <v>0</v>
      </c>
    </row>
    <row r="334" spans="2:5" x14ac:dyDescent="0.25">
      <c r="B334" t="s">
        <v>623</v>
      </c>
      <c r="C334" t="s">
        <v>871</v>
      </c>
      <c r="D334" t="s">
        <v>872</v>
      </c>
      <c r="E334">
        <v>0</v>
      </c>
    </row>
    <row r="335" spans="2:5" x14ac:dyDescent="0.25">
      <c r="B335" t="s">
        <v>164</v>
      </c>
      <c r="C335" t="s">
        <v>443</v>
      </c>
      <c r="D335" t="s">
        <v>444</v>
      </c>
      <c r="E335">
        <v>0</v>
      </c>
    </row>
    <row r="336" spans="2:5" x14ac:dyDescent="0.25">
      <c r="B336" t="s">
        <v>164</v>
      </c>
      <c r="C336" t="s">
        <v>400</v>
      </c>
      <c r="D336" t="s">
        <v>401</v>
      </c>
      <c r="E336">
        <v>0</v>
      </c>
    </row>
    <row r="337" spans="2:5" x14ac:dyDescent="0.25">
      <c r="B337" t="s">
        <v>164</v>
      </c>
      <c r="C337" t="s">
        <v>402</v>
      </c>
      <c r="D337" t="s">
        <v>403</v>
      </c>
      <c r="E337">
        <v>0</v>
      </c>
    </row>
    <row r="338" spans="2:5" x14ac:dyDescent="0.25">
      <c r="B338" t="s">
        <v>106</v>
      </c>
      <c r="C338" t="s">
        <v>933</v>
      </c>
      <c r="D338" t="s">
        <v>934</v>
      </c>
      <c r="E338">
        <v>84</v>
      </c>
    </row>
    <row r="339" spans="2:5" x14ac:dyDescent="0.25">
      <c r="B339" t="s">
        <v>209</v>
      </c>
      <c r="C339" t="s">
        <v>935</v>
      </c>
      <c r="D339" t="s">
        <v>936</v>
      </c>
      <c r="E339">
        <v>0</v>
      </c>
    </row>
    <row r="340" spans="2:5" x14ac:dyDescent="0.25">
      <c r="B340" t="s">
        <v>209</v>
      </c>
      <c r="C340" t="s">
        <v>937</v>
      </c>
      <c r="D340" t="s">
        <v>938</v>
      </c>
      <c r="E340">
        <v>0</v>
      </c>
    </row>
    <row r="341" spans="2:5" x14ac:dyDescent="0.25">
      <c r="B341" t="s">
        <v>203</v>
      </c>
      <c r="C341" t="s">
        <v>449</v>
      </c>
      <c r="D341" t="s">
        <v>450</v>
      </c>
      <c r="E341">
        <v>0</v>
      </c>
    </row>
    <row r="342" spans="2:5" x14ac:dyDescent="0.25">
      <c r="B342" t="s">
        <v>25</v>
      </c>
      <c r="C342" t="s">
        <v>913</v>
      </c>
      <c r="D342" t="s">
        <v>914</v>
      </c>
      <c r="E342">
        <v>0</v>
      </c>
    </row>
    <row r="343" spans="2:5" x14ac:dyDescent="0.25">
      <c r="B343" t="s">
        <v>52</v>
      </c>
      <c r="C343" t="s">
        <v>939</v>
      </c>
      <c r="D343" t="s">
        <v>940</v>
      </c>
      <c r="E343">
        <v>0</v>
      </c>
    </row>
    <row r="344" spans="2:5" x14ac:dyDescent="0.25">
      <c r="B344" t="s">
        <v>195</v>
      </c>
      <c r="C344" t="s">
        <v>1047</v>
      </c>
      <c r="D344" t="s">
        <v>1048</v>
      </c>
      <c r="E344">
        <v>1920</v>
      </c>
    </row>
    <row r="345" spans="2:5" x14ac:dyDescent="0.25">
      <c r="B345" t="s">
        <v>1005</v>
      </c>
      <c r="C345" t="s">
        <v>1006</v>
      </c>
      <c r="D345" t="s">
        <v>1007</v>
      </c>
      <c r="E345">
        <v>4275</v>
      </c>
    </row>
    <row r="346" spans="2:5" x14ac:dyDescent="0.25">
      <c r="B346" t="s">
        <v>17</v>
      </c>
      <c r="C346" t="s">
        <v>1001</v>
      </c>
      <c r="D346" t="s">
        <v>1002</v>
      </c>
      <c r="E346">
        <v>0</v>
      </c>
    </row>
    <row r="347" spans="2:5" x14ac:dyDescent="0.25">
      <c r="B347" t="s">
        <v>148</v>
      </c>
      <c r="C347" t="s">
        <v>1045</v>
      </c>
      <c r="D347" t="s">
        <v>1046</v>
      </c>
      <c r="E347">
        <v>2040</v>
      </c>
    </row>
    <row r="348" spans="2:5" x14ac:dyDescent="0.25">
      <c r="B348" t="s">
        <v>585</v>
      </c>
      <c r="C348" t="s">
        <v>586</v>
      </c>
      <c r="D348" t="s">
        <v>587</v>
      </c>
      <c r="E348">
        <v>0</v>
      </c>
    </row>
    <row r="349" spans="2:5" x14ac:dyDescent="0.25">
      <c r="B349" t="s">
        <v>28</v>
      </c>
      <c r="C349" t="s">
        <v>1472</v>
      </c>
      <c r="D349" t="s">
        <v>1473</v>
      </c>
      <c r="E349">
        <v>0</v>
      </c>
    </row>
    <row r="350" spans="2:5" x14ac:dyDescent="0.25">
      <c r="B350" t="s">
        <v>31</v>
      </c>
      <c r="C350" t="s">
        <v>580</v>
      </c>
      <c r="D350" t="s">
        <v>581</v>
      </c>
      <c r="E350">
        <v>0</v>
      </c>
    </row>
    <row r="351" spans="2:5" x14ac:dyDescent="0.25">
      <c r="B351" t="s">
        <v>598</v>
      </c>
      <c r="C351" t="s">
        <v>599</v>
      </c>
      <c r="D351" t="s">
        <v>600</v>
      </c>
      <c r="E351">
        <v>100</v>
      </c>
    </row>
    <row r="352" spans="2:5" x14ac:dyDescent="0.25">
      <c r="B352" t="s">
        <v>156</v>
      </c>
      <c r="C352" t="s">
        <v>1559</v>
      </c>
      <c r="D352" t="s">
        <v>1560</v>
      </c>
      <c r="E352">
        <v>0</v>
      </c>
    </row>
    <row r="353" spans="2:5" x14ac:dyDescent="0.25">
      <c r="B353" t="s">
        <v>120</v>
      </c>
      <c r="C353" t="s">
        <v>1561</v>
      </c>
      <c r="D353" t="s">
        <v>1562</v>
      </c>
      <c r="E353">
        <v>0</v>
      </c>
    </row>
    <row r="354" spans="2:5" x14ac:dyDescent="0.25">
      <c r="B354" t="s">
        <v>8</v>
      </c>
      <c r="C354" t="s">
        <v>1340</v>
      </c>
      <c r="D354" t="s">
        <v>1341</v>
      </c>
      <c r="E354">
        <v>0</v>
      </c>
    </row>
    <row r="355" spans="2:5" x14ac:dyDescent="0.25">
      <c r="B355" t="s">
        <v>17</v>
      </c>
      <c r="C355" t="s">
        <v>1563</v>
      </c>
      <c r="D355" t="s">
        <v>1564</v>
      </c>
      <c r="E355">
        <v>0</v>
      </c>
    </row>
    <row r="356" spans="2:5" x14ac:dyDescent="0.25">
      <c r="B356" t="s">
        <v>438</v>
      </c>
      <c r="C356" t="s">
        <v>955</v>
      </c>
      <c r="D356" t="s">
        <v>956</v>
      </c>
      <c r="E356">
        <v>0</v>
      </c>
    </row>
    <row r="357" spans="2:5" x14ac:dyDescent="0.25">
      <c r="B357" t="s">
        <v>195</v>
      </c>
      <c r="C357" t="s">
        <v>957</v>
      </c>
      <c r="D357" t="s">
        <v>958</v>
      </c>
      <c r="E357">
        <v>0</v>
      </c>
    </row>
    <row r="358" spans="2:5" x14ac:dyDescent="0.25">
      <c r="B358" t="s">
        <v>328</v>
      </c>
      <c r="C358" t="s">
        <v>959</v>
      </c>
      <c r="D358" t="s">
        <v>960</v>
      </c>
      <c r="E358">
        <v>0</v>
      </c>
    </row>
    <row r="359" spans="2:5" x14ac:dyDescent="0.25">
      <c r="B359" t="s">
        <v>203</v>
      </c>
      <c r="C359" t="s">
        <v>961</v>
      </c>
      <c r="D359" t="s">
        <v>962</v>
      </c>
      <c r="E359">
        <v>5980</v>
      </c>
    </row>
    <row r="360" spans="2:5" x14ac:dyDescent="0.25">
      <c r="B360" t="s">
        <v>203</v>
      </c>
      <c r="C360" t="s">
        <v>961</v>
      </c>
      <c r="D360" t="s">
        <v>962</v>
      </c>
      <c r="E360">
        <v>0</v>
      </c>
    </row>
    <row r="361" spans="2:5" x14ac:dyDescent="0.25">
      <c r="B361" t="s">
        <v>203</v>
      </c>
      <c r="C361" t="s">
        <v>963</v>
      </c>
      <c r="D361" t="s">
        <v>964</v>
      </c>
      <c r="E361">
        <v>10040</v>
      </c>
    </row>
    <row r="362" spans="2:5" x14ac:dyDescent="0.25">
      <c r="B362" t="s">
        <v>209</v>
      </c>
      <c r="C362" t="s">
        <v>965</v>
      </c>
      <c r="D362" t="s">
        <v>966</v>
      </c>
      <c r="E362">
        <v>10</v>
      </c>
    </row>
    <row r="363" spans="2:5" x14ac:dyDescent="0.25">
      <c r="B363" t="s">
        <v>55</v>
      </c>
      <c r="C363" t="s">
        <v>967</v>
      </c>
      <c r="D363" t="s">
        <v>968</v>
      </c>
      <c r="E363">
        <v>0</v>
      </c>
    </row>
    <row r="364" spans="2:5" x14ac:dyDescent="0.25">
      <c r="B364" t="s">
        <v>55</v>
      </c>
      <c r="C364" t="s">
        <v>967</v>
      </c>
      <c r="D364" t="s">
        <v>968</v>
      </c>
      <c r="E364">
        <v>0</v>
      </c>
    </row>
    <row r="365" spans="2:5" x14ac:dyDescent="0.25">
      <c r="B365" t="s">
        <v>377</v>
      </c>
      <c r="C365" t="s">
        <v>969</v>
      </c>
      <c r="D365" t="s">
        <v>970</v>
      </c>
      <c r="E365">
        <v>0</v>
      </c>
    </row>
    <row r="366" spans="2:5" x14ac:dyDescent="0.25">
      <c r="B366" t="s">
        <v>377</v>
      </c>
      <c r="C366" t="s">
        <v>969</v>
      </c>
      <c r="D366" t="s">
        <v>970</v>
      </c>
      <c r="E366">
        <v>0</v>
      </c>
    </row>
    <row r="367" spans="2:5" x14ac:dyDescent="0.25">
      <c r="B367" t="s">
        <v>131</v>
      </c>
      <c r="C367" t="s">
        <v>971</v>
      </c>
      <c r="D367" t="s">
        <v>803</v>
      </c>
      <c r="E367">
        <v>0</v>
      </c>
    </row>
    <row r="368" spans="2:5" x14ac:dyDescent="0.25">
      <c r="B368" t="s">
        <v>217</v>
      </c>
      <c r="C368" t="s">
        <v>972</v>
      </c>
      <c r="D368" t="s">
        <v>973</v>
      </c>
      <c r="E368">
        <v>2215</v>
      </c>
    </row>
    <row r="369" spans="2:5" x14ac:dyDescent="0.25">
      <c r="B369" t="s">
        <v>217</v>
      </c>
      <c r="C369" t="s">
        <v>972</v>
      </c>
      <c r="D369" t="s">
        <v>973</v>
      </c>
      <c r="E369">
        <v>60</v>
      </c>
    </row>
    <row r="370" spans="2:5" x14ac:dyDescent="0.25">
      <c r="B370" t="s">
        <v>145</v>
      </c>
      <c r="C370" t="s">
        <v>974</v>
      </c>
      <c r="D370" t="s">
        <v>975</v>
      </c>
      <c r="E370">
        <v>237</v>
      </c>
    </row>
    <row r="371" spans="2:5" x14ac:dyDescent="0.25">
      <c r="B371" t="s">
        <v>145</v>
      </c>
      <c r="C371" t="s">
        <v>974</v>
      </c>
      <c r="D371" t="s">
        <v>975</v>
      </c>
      <c r="E371">
        <v>0</v>
      </c>
    </row>
    <row r="372" spans="2:5" x14ac:dyDescent="0.25">
      <c r="B372" t="s">
        <v>145</v>
      </c>
      <c r="C372" t="s">
        <v>974</v>
      </c>
      <c r="D372" t="s">
        <v>975</v>
      </c>
      <c r="E372">
        <v>0</v>
      </c>
    </row>
    <row r="373" spans="2:5" x14ac:dyDescent="0.25">
      <c r="B373" t="s">
        <v>217</v>
      </c>
      <c r="C373" t="s">
        <v>976</v>
      </c>
      <c r="D373" t="s">
        <v>977</v>
      </c>
      <c r="E373">
        <v>0</v>
      </c>
    </row>
    <row r="374" spans="2:5" x14ac:dyDescent="0.25">
      <c r="B374" t="s">
        <v>978</v>
      </c>
      <c r="C374" t="s">
        <v>979</v>
      </c>
      <c r="D374" t="s">
        <v>980</v>
      </c>
      <c r="E374">
        <v>0</v>
      </c>
    </row>
    <row r="375" spans="2:5" x14ac:dyDescent="0.25">
      <c r="B375" t="s">
        <v>978</v>
      </c>
      <c r="C375" t="s">
        <v>979</v>
      </c>
      <c r="D375" t="s">
        <v>980</v>
      </c>
      <c r="E375">
        <v>0</v>
      </c>
    </row>
    <row r="376" spans="2:5" x14ac:dyDescent="0.25">
      <c r="B376" t="s">
        <v>117</v>
      </c>
      <c r="C376" t="s">
        <v>981</v>
      </c>
      <c r="D376" t="s">
        <v>982</v>
      </c>
      <c r="E376">
        <v>0</v>
      </c>
    </row>
    <row r="377" spans="2:5" x14ac:dyDescent="0.25">
      <c r="B377" t="s">
        <v>73</v>
      </c>
      <c r="C377" t="s">
        <v>983</v>
      </c>
      <c r="D377" t="s">
        <v>984</v>
      </c>
      <c r="E377">
        <v>110</v>
      </c>
    </row>
    <row r="378" spans="2:5" x14ac:dyDescent="0.25">
      <c r="B378" t="s">
        <v>73</v>
      </c>
      <c r="C378" t="s">
        <v>983</v>
      </c>
      <c r="D378" t="s">
        <v>984</v>
      </c>
      <c r="E378">
        <v>60</v>
      </c>
    </row>
    <row r="379" spans="2:5" x14ac:dyDescent="0.25">
      <c r="B379" t="s">
        <v>352</v>
      </c>
      <c r="C379" t="s">
        <v>985</v>
      </c>
      <c r="D379" t="s">
        <v>986</v>
      </c>
      <c r="E379">
        <v>0</v>
      </c>
    </row>
    <row r="380" spans="2:5" x14ac:dyDescent="0.25">
      <c r="B380" t="s">
        <v>352</v>
      </c>
      <c r="C380" t="s">
        <v>987</v>
      </c>
      <c r="D380" t="s">
        <v>988</v>
      </c>
      <c r="E380">
        <v>1020</v>
      </c>
    </row>
    <row r="381" spans="2:5" x14ac:dyDescent="0.25">
      <c r="B381" t="s">
        <v>352</v>
      </c>
      <c r="C381" t="s">
        <v>989</v>
      </c>
      <c r="D381" t="s">
        <v>990</v>
      </c>
      <c r="E381">
        <v>0</v>
      </c>
    </row>
    <row r="382" spans="2:5" x14ac:dyDescent="0.25">
      <c r="B382" t="s">
        <v>352</v>
      </c>
      <c r="C382" t="s">
        <v>989</v>
      </c>
      <c r="D382" t="s">
        <v>990</v>
      </c>
      <c r="E382">
        <v>0</v>
      </c>
    </row>
    <row r="383" spans="2:5" x14ac:dyDescent="0.25">
      <c r="B383" t="s">
        <v>352</v>
      </c>
      <c r="C383" t="s">
        <v>542</v>
      </c>
      <c r="D383" t="s">
        <v>543</v>
      </c>
      <c r="E383">
        <v>0</v>
      </c>
    </row>
    <row r="384" spans="2:5" x14ac:dyDescent="0.25">
      <c r="B384" t="s">
        <v>80</v>
      </c>
      <c r="C384" t="s">
        <v>572</v>
      </c>
      <c r="D384" t="s">
        <v>573</v>
      </c>
      <c r="E384">
        <v>399</v>
      </c>
    </row>
    <row r="385" spans="2:5" x14ac:dyDescent="0.25">
      <c r="B385" t="s">
        <v>83</v>
      </c>
      <c r="C385" t="s">
        <v>991</v>
      </c>
      <c r="D385" t="s">
        <v>992</v>
      </c>
      <c r="E385">
        <v>436</v>
      </c>
    </row>
    <row r="386" spans="2:5" x14ac:dyDescent="0.25">
      <c r="B386" t="s">
        <v>83</v>
      </c>
      <c r="C386" t="s">
        <v>991</v>
      </c>
      <c r="D386" t="s">
        <v>992</v>
      </c>
      <c r="E386">
        <v>0</v>
      </c>
    </row>
    <row r="387" spans="2:5" x14ac:dyDescent="0.25">
      <c r="B387" t="s">
        <v>83</v>
      </c>
      <c r="C387" t="s">
        <v>993</v>
      </c>
      <c r="D387" t="s">
        <v>994</v>
      </c>
      <c r="E387">
        <v>6700</v>
      </c>
    </row>
    <row r="388" spans="2:5" x14ac:dyDescent="0.25">
      <c r="B388" t="s">
        <v>83</v>
      </c>
      <c r="C388" t="s">
        <v>993</v>
      </c>
      <c r="D388" t="s">
        <v>994</v>
      </c>
      <c r="E388">
        <v>0</v>
      </c>
    </row>
    <row r="389" spans="2:5" x14ac:dyDescent="0.25">
      <c r="B389" t="s">
        <v>52</v>
      </c>
      <c r="C389" t="s">
        <v>592</v>
      </c>
      <c r="D389" t="s">
        <v>593</v>
      </c>
      <c r="E389">
        <v>32</v>
      </c>
    </row>
    <row r="390" spans="2:5" x14ac:dyDescent="0.25">
      <c r="B390" t="s">
        <v>52</v>
      </c>
      <c r="C390" t="s">
        <v>592</v>
      </c>
      <c r="D390" t="s">
        <v>593</v>
      </c>
      <c r="E390">
        <v>0</v>
      </c>
    </row>
    <row r="391" spans="2:5" x14ac:dyDescent="0.25">
      <c r="B391" t="s">
        <v>52</v>
      </c>
      <c r="C391" t="s">
        <v>578</v>
      </c>
      <c r="D391" t="s">
        <v>579</v>
      </c>
      <c r="E391">
        <v>435</v>
      </c>
    </row>
    <row r="392" spans="2:5" x14ac:dyDescent="0.25">
      <c r="B392" t="s">
        <v>52</v>
      </c>
      <c r="C392" t="s">
        <v>578</v>
      </c>
      <c r="D392" t="s">
        <v>579</v>
      </c>
      <c r="E392">
        <v>0</v>
      </c>
    </row>
    <row r="393" spans="2:5" x14ac:dyDescent="0.25">
      <c r="B393" t="s">
        <v>521</v>
      </c>
      <c r="C393" t="s">
        <v>995</v>
      </c>
      <c r="D393" t="s">
        <v>996</v>
      </c>
      <c r="E393">
        <v>0</v>
      </c>
    </row>
    <row r="394" spans="2:5" x14ac:dyDescent="0.25">
      <c r="B394" t="s">
        <v>521</v>
      </c>
      <c r="C394" t="s">
        <v>995</v>
      </c>
      <c r="D394" t="s">
        <v>996</v>
      </c>
      <c r="E394">
        <v>0</v>
      </c>
    </row>
    <row r="395" spans="2:5" x14ac:dyDescent="0.25">
      <c r="B395" t="s">
        <v>8</v>
      </c>
      <c r="C395" t="s">
        <v>997</v>
      </c>
      <c r="D395" t="s">
        <v>998</v>
      </c>
      <c r="E395">
        <v>0</v>
      </c>
    </row>
    <row r="396" spans="2:5" x14ac:dyDescent="0.25">
      <c r="B396" t="s">
        <v>8</v>
      </c>
      <c r="C396" t="s">
        <v>999</v>
      </c>
      <c r="D396" t="s">
        <v>1000</v>
      </c>
      <c r="E396">
        <v>3</v>
      </c>
    </row>
    <row r="397" spans="2:5" x14ac:dyDescent="0.25">
      <c r="B397" t="s">
        <v>17</v>
      </c>
      <c r="C397" t="s">
        <v>1001</v>
      </c>
      <c r="D397" t="s">
        <v>1002</v>
      </c>
      <c r="E397">
        <v>15900</v>
      </c>
    </row>
    <row r="398" spans="2:5" x14ac:dyDescent="0.25">
      <c r="B398" t="s">
        <v>17</v>
      </c>
      <c r="C398" t="s">
        <v>1001</v>
      </c>
      <c r="D398" t="s">
        <v>1002</v>
      </c>
      <c r="E398">
        <v>0</v>
      </c>
    </row>
    <row r="399" spans="2:5" x14ac:dyDescent="0.25">
      <c r="B399" t="s">
        <v>20</v>
      </c>
      <c r="C399" t="s">
        <v>1003</v>
      </c>
      <c r="D399" t="s">
        <v>1004</v>
      </c>
      <c r="E399">
        <v>670</v>
      </c>
    </row>
    <row r="400" spans="2:5" x14ac:dyDescent="0.25">
      <c r="B400" t="s">
        <v>20</v>
      </c>
      <c r="C400" t="s">
        <v>1003</v>
      </c>
      <c r="D400" t="s">
        <v>1004</v>
      </c>
      <c r="E400">
        <v>0</v>
      </c>
    </row>
    <row r="401" spans="2:5" x14ac:dyDescent="0.25">
      <c r="B401" t="s">
        <v>20</v>
      </c>
      <c r="C401" t="s">
        <v>1003</v>
      </c>
      <c r="D401" t="s">
        <v>1004</v>
      </c>
      <c r="E401">
        <v>0</v>
      </c>
    </row>
    <row r="402" spans="2:5" x14ac:dyDescent="0.25">
      <c r="B402" t="s">
        <v>20</v>
      </c>
      <c r="C402" t="s">
        <v>459</v>
      </c>
      <c r="D402" t="s">
        <v>460</v>
      </c>
      <c r="E402">
        <v>8240</v>
      </c>
    </row>
    <row r="403" spans="2:5" x14ac:dyDescent="0.25">
      <c r="B403" t="s">
        <v>20</v>
      </c>
      <c r="C403" t="s">
        <v>588</v>
      </c>
      <c r="D403" t="s">
        <v>589</v>
      </c>
      <c r="E403">
        <v>0</v>
      </c>
    </row>
    <row r="404" spans="2:5" x14ac:dyDescent="0.25">
      <c r="B404" t="s">
        <v>25</v>
      </c>
      <c r="C404" t="s">
        <v>470</v>
      </c>
      <c r="D404" t="s">
        <v>471</v>
      </c>
      <c r="E404">
        <v>5064</v>
      </c>
    </row>
    <row r="405" spans="2:5" x14ac:dyDescent="0.25">
      <c r="B405" t="s">
        <v>1005</v>
      </c>
      <c r="C405" t="s">
        <v>1006</v>
      </c>
      <c r="D405" t="s">
        <v>1007</v>
      </c>
      <c r="E405">
        <v>2325</v>
      </c>
    </row>
    <row r="406" spans="2:5" x14ac:dyDescent="0.25">
      <c r="B406" t="s">
        <v>49</v>
      </c>
      <c r="C406" t="s">
        <v>1008</v>
      </c>
      <c r="D406" t="s">
        <v>1009</v>
      </c>
      <c r="E406">
        <v>3305</v>
      </c>
    </row>
    <row r="407" spans="2:5" x14ac:dyDescent="0.25">
      <c r="B407" t="s">
        <v>14</v>
      </c>
      <c r="C407" t="s">
        <v>1010</v>
      </c>
      <c r="D407" t="s">
        <v>1011</v>
      </c>
      <c r="E407">
        <v>0</v>
      </c>
    </row>
    <row r="408" spans="2:5" x14ac:dyDescent="0.25">
      <c r="B408" t="s">
        <v>14</v>
      </c>
      <c r="C408" t="s">
        <v>1012</v>
      </c>
      <c r="D408" t="s">
        <v>1013</v>
      </c>
      <c r="E408">
        <v>0</v>
      </c>
    </row>
    <row r="409" spans="2:5" x14ac:dyDescent="0.25">
      <c r="B409" t="s">
        <v>49</v>
      </c>
      <c r="C409" t="s">
        <v>1008</v>
      </c>
      <c r="D409" t="s">
        <v>1009</v>
      </c>
      <c r="E409">
        <v>5660</v>
      </c>
    </row>
    <row r="410" spans="2:5" x14ac:dyDescent="0.25">
      <c r="B410" t="s">
        <v>217</v>
      </c>
      <c r="C410" t="s">
        <v>1051</v>
      </c>
      <c r="D410" t="s">
        <v>1052</v>
      </c>
      <c r="E410">
        <v>0</v>
      </c>
    </row>
    <row r="411" spans="2:5" x14ac:dyDescent="0.25">
      <c r="B411" t="s">
        <v>217</v>
      </c>
      <c r="C411" t="s">
        <v>976</v>
      </c>
      <c r="D411" t="s">
        <v>977</v>
      </c>
      <c r="E411">
        <v>0</v>
      </c>
    </row>
    <row r="412" spans="2:5" x14ac:dyDescent="0.25">
      <c r="B412" t="s">
        <v>217</v>
      </c>
      <c r="C412" t="s">
        <v>1264</v>
      </c>
      <c r="D412" t="s">
        <v>1265</v>
      </c>
      <c r="E412">
        <v>0</v>
      </c>
    </row>
    <row r="413" spans="2:5" x14ac:dyDescent="0.25">
      <c r="B413" t="s">
        <v>120</v>
      </c>
      <c r="C413" t="s">
        <v>540</v>
      </c>
      <c r="D413" t="s">
        <v>541</v>
      </c>
      <c r="E413">
        <v>6440</v>
      </c>
    </row>
    <row r="414" spans="2:5" x14ac:dyDescent="0.25">
      <c r="B414" t="s">
        <v>20</v>
      </c>
      <c r="C414" t="s">
        <v>1016</v>
      </c>
      <c r="D414" t="s">
        <v>1017</v>
      </c>
      <c r="E414">
        <v>0</v>
      </c>
    </row>
    <row r="415" spans="2:5" x14ac:dyDescent="0.25">
      <c r="B415" t="s">
        <v>551</v>
      </c>
      <c r="C415" t="s">
        <v>1018</v>
      </c>
      <c r="D415" t="s">
        <v>1019</v>
      </c>
      <c r="E415">
        <v>0</v>
      </c>
    </row>
    <row r="416" spans="2:5" x14ac:dyDescent="0.25">
      <c r="B416" t="s">
        <v>272</v>
      </c>
      <c r="C416" t="s">
        <v>574</v>
      </c>
      <c r="D416" t="s">
        <v>575</v>
      </c>
      <c r="E416">
        <v>660</v>
      </c>
    </row>
    <row r="417" spans="2:5" x14ac:dyDescent="0.25">
      <c r="B417" t="s">
        <v>1020</v>
      </c>
      <c r="C417" t="s">
        <v>1021</v>
      </c>
      <c r="D417" t="s">
        <v>1022</v>
      </c>
      <c r="E417">
        <v>0</v>
      </c>
    </row>
    <row r="418" spans="2:5" x14ac:dyDescent="0.25">
      <c r="B418" t="s">
        <v>203</v>
      </c>
      <c r="C418" t="s">
        <v>963</v>
      </c>
      <c r="D418" t="s">
        <v>964</v>
      </c>
      <c r="E418">
        <v>0</v>
      </c>
    </row>
    <row r="419" spans="2:5" x14ac:dyDescent="0.25">
      <c r="B419" t="s">
        <v>164</v>
      </c>
      <c r="C419" t="s">
        <v>538</v>
      </c>
      <c r="D419" t="s">
        <v>539</v>
      </c>
      <c r="E419">
        <v>0</v>
      </c>
    </row>
    <row r="420" spans="2:5" x14ac:dyDescent="0.25">
      <c r="B420" t="s">
        <v>114</v>
      </c>
      <c r="C420" t="s">
        <v>549</v>
      </c>
      <c r="D420" t="s">
        <v>550</v>
      </c>
      <c r="E420">
        <v>0</v>
      </c>
    </row>
    <row r="421" spans="2:5" x14ac:dyDescent="0.25">
      <c r="B421" t="s">
        <v>91</v>
      </c>
      <c r="C421" t="s">
        <v>1023</v>
      </c>
      <c r="D421" t="s">
        <v>1024</v>
      </c>
      <c r="E421">
        <v>0</v>
      </c>
    </row>
    <row r="422" spans="2:5" x14ac:dyDescent="0.25">
      <c r="B422" t="s">
        <v>91</v>
      </c>
      <c r="C422" t="s">
        <v>1025</v>
      </c>
      <c r="D422" t="s">
        <v>1026</v>
      </c>
      <c r="E422">
        <v>0</v>
      </c>
    </row>
    <row r="423" spans="2:5" x14ac:dyDescent="0.25">
      <c r="B423" t="s">
        <v>55</v>
      </c>
      <c r="C423" t="s">
        <v>1027</v>
      </c>
      <c r="D423" t="s">
        <v>1028</v>
      </c>
      <c r="E423">
        <v>0</v>
      </c>
    </row>
    <row r="424" spans="2:5" x14ac:dyDescent="0.25">
      <c r="B424" t="s">
        <v>55</v>
      </c>
      <c r="C424" t="s">
        <v>1029</v>
      </c>
      <c r="D424" t="s">
        <v>1030</v>
      </c>
      <c r="E424">
        <v>0</v>
      </c>
    </row>
    <row r="425" spans="2:5" x14ac:dyDescent="0.25">
      <c r="B425" t="s">
        <v>8</v>
      </c>
      <c r="C425" t="s">
        <v>1031</v>
      </c>
      <c r="D425" t="s">
        <v>1032</v>
      </c>
      <c r="E425">
        <v>0</v>
      </c>
    </row>
    <row r="426" spans="2:5" x14ac:dyDescent="0.25">
      <c r="B426" t="s">
        <v>8</v>
      </c>
      <c r="C426" t="s">
        <v>1033</v>
      </c>
      <c r="D426" t="s">
        <v>1034</v>
      </c>
      <c r="E426">
        <v>0</v>
      </c>
    </row>
    <row r="427" spans="2:5" x14ac:dyDescent="0.25">
      <c r="B427" t="s">
        <v>31</v>
      </c>
      <c r="C427" t="s">
        <v>1035</v>
      </c>
      <c r="D427" t="s">
        <v>1036</v>
      </c>
      <c r="E427">
        <v>0</v>
      </c>
    </row>
    <row r="428" spans="2:5" x14ac:dyDescent="0.25">
      <c r="B428" t="s">
        <v>25</v>
      </c>
      <c r="C428" t="s">
        <v>1037</v>
      </c>
      <c r="D428" t="s">
        <v>1038</v>
      </c>
      <c r="E428">
        <v>0</v>
      </c>
    </row>
    <row r="429" spans="2:5" x14ac:dyDescent="0.25">
      <c r="B429" t="s">
        <v>222</v>
      </c>
      <c r="C429" t="s">
        <v>1152</v>
      </c>
      <c r="D429" t="s">
        <v>1153</v>
      </c>
      <c r="E429">
        <v>0</v>
      </c>
    </row>
    <row r="430" spans="2:5" x14ac:dyDescent="0.25">
      <c r="B430" t="s">
        <v>222</v>
      </c>
      <c r="C430" t="s">
        <v>1152</v>
      </c>
      <c r="D430" t="s">
        <v>1153</v>
      </c>
      <c r="E430">
        <v>0</v>
      </c>
    </row>
    <row r="431" spans="2:5" x14ac:dyDescent="0.25">
      <c r="B431" t="s">
        <v>145</v>
      </c>
      <c r="C431" t="s">
        <v>1138</v>
      </c>
      <c r="D431" t="s">
        <v>1139</v>
      </c>
      <c r="E431">
        <v>0</v>
      </c>
    </row>
    <row r="432" spans="2:5" x14ac:dyDescent="0.25">
      <c r="B432" t="s">
        <v>1154</v>
      </c>
      <c r="C432" t="s">
        <v>1155</v>
      </c>
      <c r="D432" t="s">
        <v>1156</v>
      </c>
      <c r="E432">
        <v>0</v>
      </c>
    </row>
    <row r="433" spans="2:5" x14ac:dyDescent="0.25">
      <c r="B433" t="s">
        <v>145</v>
      </c>
      <c r="C433" t="s">
        <v>1157</v>
      </c>
      <c r="D433" t="s">
        <v>1158</v>
      </c>
      <c r="E433">
        <v>1140</v>
      </c>
    </row>
    <row r="434" spans="2:5" x14ac:dyDescent="0.25">
      <c r="B434" t="s">
        <v>145</v>
      </c>
      <c r="C434" t="s">
        <v>1159</v>
      </c>
      <c r="D434" t="s">
        <v>1160</v>
      </c>
      <c r="E434">
        <v>0</v>
      </c>
    </row>
    <row r="435" spans="2:5" x14ac:dyDescent="0.25">
      <c r="B435" t="s">
        <v>61</v>
      </c>
      <c r="C435" t="s">
        <v>1161</v>
      </c>
      <c r="D435" t="s">
        <v>1162</v>
      </c>
      <c r="E435">
        <v>20</v>
      </c>
    </row>
    <row r="436" spans="2:5" x14ac:dyDescent="0.25">
      <c r="B436" t="s">
        <v>217</v>
      </c>
      <c r="C436" t="s">
        <v>1163</v>
      </c>
      <c r="D436" t="s">
        <v>1164</v>
      </c>
      <c r="E436">
        <v>0</v>
      </c>
    </row>
    <row r="437" spans="2:5" x14ac:dyDescent="0.25">
      <c r="B437" t="s">
        <v>217</v>
      </c>
      <c r="C437" t="s">
        <v>1163</v>
      </c>
      <c r="D437" t="s">
        <v>1164</v>
      </c>
      <c r="E437">
        <v>0</v>
      </c>
    </row>
    <row r="438" spans="2:5" x14ac:dyDescent="0.25">
      <c r="B438" t="s">
        <v>64</v>
      </c>
      <c r="C438" t="s">
        <v>1053</v>
      </c>
      <c r="D438" t="s">
        <v>1054</v>
      </c>
      <c r="E438">
        <v>2154</v>
      </c>
    </row>
    <row r="439" spans="2:5" x14ac:dyDescent="0.25">
      <c r="B439" t="s">
        <v>64</v>
      </c>
      <c r="C439" t="s">
        <v>1165</v>
      </c>
      <c r="D439" t="s">
        <v>1166</v>
      </c>
      <c r="E439">
        <v>0</v>
      </c>
    </row>
    <row r="440" spans="2:5" x14ac:dyDescent="0.25">
      <c r="B440" t="s">
        <v>64</v>
      </c>
      <c r="C440" t="s">
        <v>1165</v>
      </c>
      <c r="D440" t="s">
        <v>1166</v>
      </c>
      <c r="E440">
        <v>0</v>
      </c>
    </row>
    <row r="441" spans="2:5" x14ac:dyDescent="0.25">
      <c r="B441" t="s">
        <v>195</v>
      </c>
      <c r="C441" t="s">
        <v>701</v>
      </c>
      <c r="D441" t="s">
        <v>702</v>
      </c>
      <c r="E441">
        <v>350</v>
      </c>
    </row>
    <row r="442" spans="2:5" x14ac:dyDescent="0.25">
      <c r="B442" t="s">
        <v>195</v>
      </c>
      <c r="C442" t="s">
        <v>1167</v>
      </c>
      <c r="D442" t="s">
        <v>1168</v>
      </c>
      <c r="E442">
        <v>12220</v>
      </c>
    </row>
    <row r="443" spans="2:5" x14ac:dyDescent="0.25">
      <c r="B443" t="s">
        <v>195</v>
      </c>
      <c r="C443" t="s">
        <v>1167</v>
      </c>
      <c r="D443" t="s">
        <v>1168</v>
      </c>
      <c r="E443">
        <v>0</v>
      </c>
    </row>
    <row r="444" spans="2:5" x14ac:dyDescent="0.25">
      <c r="B444" t="s">
        <v>195</v>
      </c>
      <c r="C444" t="s">
        <v>1167</v>
      </c>
      <c r="D444" t="s">
        <v>1168</v>
      </c>
      <c r="E444">
        <v>0</v>
      </c>
    </row>
    <row r="445" spans="2:5" x14ac:dyDescent="0.25">
      <c r="B445" t="s">
        <v>195</v>
      </c>
      <c r="C445" t="s">
        <v>749</v>
      </c>
      <c r="D445" t="s">
        <v>750</v>
      </c>
      <c r="E445">
        <v>0</v>
      </c>
    </row>
    <row r="446" spans="2:5" x14ac:dyDescent="0.25">
      <c r="B446" t="s">
        <v>67</v>
      </c>
      <c r="C446" t="s">
        <v>1362</v>
      </c>
      <c r="D446" t="s">
        <v>1363</v>
      </c>
      <c r="E446">
        <v>820</v>
      </c>
    </row>
    <row r="447" spans="2:5" x14ac:dyDescent="0.25">
      <c r="B447" t="s">
        <v>67</v>
      </c>
      <c r="C447" t="s">
        <v>1362</v>
      </c>
      <c r="D447" t="s">
        <v>1363</v>
      </c>
      <c r="E447">
        <v>0</v>
      </c>
    </row>
    <row r="448" spans="2:5" x14ac:dyDescent="0.25">
      <c r="B448" t="s">
        <v>117</v>
      </c>
      <c r="C448" t="s">
        <v>1364</v>
      </c>
      <c r="D448" t="s">
        <v>1365</v>
      </c>
      <c r="E448">
        <v>0</v>
      </c>
    </row>
    <row r="449" spans="2:5" x14ac:dyDescent="0.25">
      <c r="B449" t="s">
        <v>117</v>
      </c>
      <c r="C449" t="s">
        <v>1366</v>
      </c>
      <c r="D449" t="s">
        <v>1367</v>
      </c>
      <c r="E449">
        <v>0</v>
      </c>
    </row>
    <row r="450" spans="2:5" x14ac:dyDescent="0.25">
      <c r="B450" t="s">
        <v>797</v>
      </c>
      <c r="C450" t="s">
        <v>1057</v>
      </c>
      <c r="D450" t="s">
        <v>1058</v>
      </c>
      <c r="E450">
        <v>0</v>
      </c>
    </row>
    <row r="451" spans="2:5" x14ac:dyDescent="0.25">
      <c r="B451" t="s">
        <v>797</v>
      </c>
      <c r="C451" t="s">
        <v>1057</v>
      </c>
      <c r="D451" t="s">
        <v>1058</v>
      </c>
      <c r="E451">
        <v>0</v>
      </c>
    </row>
    <row r="452" spans="2:5" x14ac:dyDescent="0.25">
      <c r="B452" t="s">
        <v>70</v>
      </c>
      <c r="C452" t="s">
        <v>1368</v>
      </c>
      <c r="D452" t="s">
        <v>1369</v>
      </c>
      <c r="E452">
        <v>0</v>
      </c>
    </row>
    <row r="453" spans="2:5" x14ac:dyDescent="0.25">
      <c r="B453" t="s">
        <v>195</v>
      </c>
      <c r="C453" t="s">
        <v>1370</v>
      </c>
      <c r="D453" t="s">
        <v>1371</v>
      </c>
      <c r="E453">
        <v>0</v>
      </c>
    </row>
    <row r="454" spans="2:5" x14ac:dyDescent="0.25">
      <c r="B454" t="s">
        <v>131</v>
      </c>
      <c r="C454" t="s">
        <v>1372</v>
      </c>
      <c r="D454" t="s">
        <v>1373</v>
      </c>
      <c r="E454">
        <v>0</v>
      </c>
    </row>
    <row r="455" spans="2:5" x14ac:dyDescent="0.25">
      <c r="B455" t="s">
        <v>186</v>
      </c>
      <c r="C455" t="s">
        <v>1374</v>
      </c>
      <c r="D455" t="s">
        <v>1375</v>
      </c>
      <c r="E455">
        <v>0</v>
      </c>
    </row>
    <row r="456" spans="2:5" x14ac:dyDescent="0.25">
      <c r="B456" t="s">
        <v>17</v>
      </c>
      <c r="C456" t="s">
        <v>607</v>
      </c>
      <c r="D456" t="s">
        <v>608</v>
      </c>
      <c r="E456">
        <v>0</v>
      </c>
    </row>
    <row r="457" spans="2:5" x14ac:dyDescent="0.25">
      <c r="B457" t="s">
        <v>73</v>
      </c>
      <c r="C457" t="s">
        <v>1376</v>
      </c>
      <c r="D457" t="s">
        <v>1377</v>
      </c>
      <c r="E457">
        <v>0</v>
      </c>
    </row>
    <row r="458" spans="2:5" x14ac:dyDescent="0.25">
      <c r="B458" t="s">
        <v>73</v>
      </c>
      <c r="C458" t="s">
        <v>1376</v>
      </c>
      <c r="D458" t="s">
        <v>1377</v>
      </c>
      <c r="E458">
        <v>0</v>
      </c>
    </row>
    <row r="459" spans="2:5" x14ac:dyDescent="0.25">
      <c r="B459" t="s">
        <v>352</v>
      </c>
      <c r="C459" t="s">
        <v>1378</v>
      </c>
      <c r="D459" t="s">
        <v>1379</v>
      </c>
      <c r="E459">
        <v>0</v>
      </c>
    </row>
    <row r="460" spans="2:5" x14ac:dyDescent="0.25">
      <c r="B460" t="s">
        <v>352</v>
      </c>
      <c r="C460" t="s">
        <v>1378</v>
      </c>
      <c r="D460" t="s">
        <v>1379</v>
      </c>
      <c r="E460">
        <v>0</v>
      </c>
    </row>
    <row r="461" spans="2:5" x14ac:dyDescent="0.25">
      <c r="B461" t="s">
        <v>352</v>
      </c>
      <c r="C461" t="s">
        <v>1065</v>
      </c>
      <c r="D461" t="s">
        <v>1066</v>
      </c>
      <c r="E461">
        <v>0</v>
      </c>
    </row>
    <row r="462" spans="2:5" x14ac:dyDescent="0.25">
      <c r="B462" t="s">
        <v>352</v>
      </c>
      <c r="C462" t="s">
        <v>1065</v>
      </c>
      <c r="D462" t="s">
        <v>1066</v>
      </c>
      <c r="E462">
        <v>0</v>
      </c>
    </row>
    <row r="463" spans="2:5" x14ac:dyDescent="0.25">
      <c r="B463" t="s">
        <v>352</v>
      </c>
      <c r="C463" t="s">
        <v>1380</v>
      </c>
      <c r="D463" t="s">
        <v>1381</v>
      </c>
      <c r="E463">
        <v>0</v>
      </c>
    </row>
    <row r="464" spans="2:5" x14ac:dyDescent="0.25">
      <c r="B464" t="s">
        <v>352</v>
      </c>
      <c r="C464" t="s">
        <v>1380</v>
      </c>
      <c r="D464" t="s">
        <v>1381</v>
      </c>
      <c r="E464">
        <v>0</v>
      </c>
    </row>
    <row r="465" spans="2:5" x14ac:dyDescent="0.25">
      <c r="B465" t="s">
        <v>352</v>
      </c>
      <c r="C465" t="s">
        <v>1067</v>
      </c>
      <c r="D465" t="s">
        <v>1068</v>
      </c>
      <c r="E465">
        <v>2</v>
      </c>
    </row>
    <row r="466" spans="2:5" x14ac:dyDescent="0.25">
      <c r="B466" t="s">
        <v>14</v>
      </c>
      <c r="C466" t="s">
        <v>1382</v>
      </c>
      <c r="D466" t="s">
        <v>1383</v>
      </c>
      <c r="E466">
        <v>0</v>
      </c>
    </row>
    <row r="467" spans="2:5" x14ac:dyDescent="0.25">
      <c r="B467" t="s">
        <v>31</v>
      </c>
      <c r="C467" t="s">
        <v>1384</v>
      </c>
      <c r="D467" t="s">
        <v>1385</v>
      </c>
      <c r="E467">
        <v>0</v>
      </c>
    </row>
    <row r="468" spans="2:5" x14ac:dyDescent="0.25">
      <c r="B468" t="s">
        <v>31</v>
      </c>
      <c r="C468" t="s">
        <v>1386</v>
      </c>
      <c r="D468" t="s">
        <v>1387</v>
      </c>
      <c r="E468">
        <v>0</v>
      </c>
    </row>
    <row r="469" spans="2:5" x14ac:dyDescent="0.25">
      <c r="B469" t="s">
        <v>11</v>
      </c>
      <c r="C469" t="s">
        <v>1388</v>
      </c>
      <c r="D469" t="s">
        <v>1389</v>
      </c>
      <c r="E469">
        <v>3235</v>
      </c>
    </row>
    <row r="470" spans="2:5" x14ac:dyDescent="0.25">
      <c r="B470" t="s">
        <v>11</v>
      </c>
      <c r="C470" t="s">
        <v>1388</v>
      </c>
      <c r="D470" t="s">
        <v>1389</v>
      </c>
      <c r="E470">
        <v>0</v>
      </c>
    </row>
    <row r="471" spans="2:5" x14ac:dyDescent="0.25">
      <c r="B471" t="s">
        <v>164</v>
      </c>
      <c r="C471" t="s">
        <v>1390</v>
      </c>
      <c r="D471" t="s">
        <v>1391</v>
      </c>
      <c r="E471">
        <v>0</v>
      </c>
    </row>
    <row r="472" spans="2:5" x14ac:dyDescent="0.25">
      <c r="B472" t="s">
        <v>52</v>
      </c>
      <c r="C472" t="s">
        <v>722</v>
      </c>
      <c r="D472" t="s">
        <v>723</v>
      </c>
      <c r="E472">
        <v>440</v>
      </c>
    </row>
    <row r="473" spans="2:5" x14ac:dyDescent="0.25">
      <c r="B473" t="s">
        <v>52</v>
      </c>
      <c r="C473" t="s">
        <v>722</v>
      </c>
      <c r="D473" t="s">
        <v>723</v>
      </c>
      <c r="E473">
        <v>0</v>
      </c>
    </row>
    <row r="474" spans="2:5" x14ac:dyDescent="0.25">
      <c r="B474" t="s">
        <v>52</v>
      </c>
      <c r="C474" t="s">
        <v>722</v>
      </c>
      <c r="D474" t="s">
        <v>723</v>
      </c>
      <c r="E474">
        <v>0</v>
      </c>
    </row>
    <row r="475" spans="2:5" x14ac:dyDescent="0.25">
      <c r="B475" t="s">
        <v>52</v>
      </c>
      <c r="C475" t="s">
        <v>1392</v>
      </c>
      <c r="D475" t="s">
        <v>1393</v>
      </c>
      <c r="E475">
        <v>0</v>
      </c>
    </row>
    <row r="476" spans="2:5" x14ac:dyDescent="0.25">
      <c r="B476" t="s">
        <v>28</v>
      </c>
      <c r="C476" t="s">
        <v>1394</v>
      </c>
      <c r="D476" t="s">
        <v>1395</v>
      </c>
      <c r="E476">
        <v>100</v>
      </c>
    </row>
    <row r="477" spans="2:5" x14ac:dyDescent="0.25">
      <c r="B477" t="s">
        <v>1071</v>
      </c>
      <c r="C477" t="s">
        <v>1072</v>
      </c>
      <c r="D477" t="s">
        <v>1073</v>
      </c>
      <c r="E477">
        <v>0</v>
      </c>
    </row>
    <row r="478" spans="2:5" x14ac:dyDescent="0.25">
      <c r="B478" t="s">
        <v>1071</v>
      </c>
      <c r="C478" t="s">
        <v>1104</v>
      </c>
      <c r="D478" t="s">
        <v>1105</v>
      </c>
      <c r="E478">
        <v>0</v>
      </c>
    </row>
    <row r="479" spans="2:5" x14ac:dyDescent="0.25">
      <c r="B479" t="s">
        <v>1071</v>
      </c>
      <c r="C479" t="s">
        <v>1104</v>
      </c>
      <c r="D479" t="s">
        <v>1105</v>
      </c>
      <c r="E479">
        <v>0</v>
      </c>
    </row>
    <row r="480" spans="2:5" x14ac:dyDescent="0.25">
      <c r="B480" t="s">
        <v>1071</v>
      </c>
      <c r="C480" t="s">
        <v>1104</v>
      </c>
      <c r="D480" t="s">
        <v>1105</v>
      </c>
      <c r="E480">
        <v>0</v>
      </c>
    </row>
    <row r="481" spans="2:5" x14ac:dyDescent="0.25">
      <c r="B481" t="s">
        <v>125</v>
      </c>
      <c r="C481" t="s">
        <v>710</v>
      </c>
      <c r="D481" t="s">
        <v>711</v>
      </c>
      <c r="E481">
        <v>0</v>
      </c>
    </row>
    <row r="482" spans="2:5" x14ac:dyDescent="0.25">
      <c r="B482" t="s">
        <v>275</v>
      </c>
      <c r="C482" t="s">
        <v>1396</v>
      </c>
      <c r="D482" t="s">
        <v>1397</v>
      </c>
      <c r="E482">
        <v>6</v>
      </c>
    </row>
    <row r="483" spans="2:5" x14ac:dyDescent="0.25">
      <c r="B483" t="s">
        <v>164</v>
      </c>
      <c r="C483" t="s">
        <v>718</v>
      </c>
      <c r="D483" t="s">
        <v>719</v>
      </c>
      <c r="E483">
        <v>56</v>
      </c>
    </row>
    <row r="484" spans="2:5" x14ac:dyDescent="0.25">
      <c r="B484" t="s">
        <v>164</v>
      </c>
      <c r="C484" t="s">
        <v>718</v>
      </c>
      <c r="D484" t="s">
        <v>719</v>
      </c>
      <c r="E484">
        <v>0</v>
      </c>
    </row>
    <row r="485" spans="2:5" x14ac:dyDescent="0.25">
      <c r="B485" t="s">
        <v>164</v>
      </c>
      <c r="C485" t="s">
        <v>1398</v>
      </c>
      <c r="D485" t="s">
        <v>1399</v>
      </c>
      <c r="E485">
        <v>20</v>
      </c>
    </row>
    <row r="486" spans="2:5" x14ac:dyDescent="0.25">
      <c r="B486" t="s">
        <v>164</v>
      </c>
      <c r="C486" t="s">
        <v>1398</v>
      </c>
      <c r="D486" t="s">
        <v>1399</v>
      </c>
      <c r="E486">
        <v>0</v>
      </c>
    </row>
    <row r="487" spans="2:5" x14ac:dyDescent="0.25">
      <c r="B487" t="s">
        <v>203</v>
      </c>
      <c r="C487" t="s">
        <v>1400</v>
      </c>
      <c r="D487" t="s">
        <v>1401</v>
      </c>
      <c r="E487">
        <v>0</v>
      </c>
    </row>
    <row r="488" spans="2:5" x14ac:dyDescent="0.25">
      <c r="B488" t="s">
        <v>203</v>
      </c>
      <c r="C488" t="s">
        <v>1400</v>
      </c>
      <c r="D488" t="s">
        <v>1401</v>
      </c>
      <c r="E488">
        <v>0</v>
      </c>
    </row>
    <row r="489" spans="2:5" x14ac:dyDescent="0.25">
      <c r="B489" t="s">
        <v>203</v>
      </c>
      <c r="C489" t="s">
        <v>1400</v>
      </c>
      <c r="D489" t="s">
        <v>1401</v>
      </c>
      <c r="E489">
        <v>0</v>
      </c>
    </row>
    <row r="490" spans="2:5" x14ac:dyDescent="0.25">
      <c r="B490" t="s">
        <v>203</v>
      </c>
      <c r="C490" t="s">
        <v>1402</v>
      </c>
      <c r="D490" t="s">
        <v>1403</v>
      </c>
      <c r="E490">
        <v>0</v>
      </c>
    </row>
    <row r="491" spans="2:5" x14ac:dyDescent="0.25">
      <c r="B491" t="s">
        <v>203</v>
      </c>
      <c r="C491" t="s">
        <v>1402</v>
      </c>
      <c r="D491" t="s">
        <v>1403</v>
      </c>
      <c r="E491">
        <v>0</v>
      </c>
    </row>
    <row r="492" spans="2:5" x14ac:dyDescent="0.25">
      <c r="B492" t="s">
        <v>203</v>
      </c>
      <c r="C492" t="s">
        <v>1404</v>
      </c>
      <c r="D492" t="s">
        <v>1405</v>
      </c>
      <c r="E492">
        <v>980</v>
      </c>
    </row>
    <row r="493" spans="2:5" x14ac:dyDescent="0.25">
      <c r="B493" t="s">
        <v>203</v>
      </c>
      <c r="C493" t="s">
        <v>1404</v>
      </c>
      <c r="D493" t="s">
        <v>1405</v>
      </c>
      <c r="E493">
        <v>0</v>
      </c>
    </row>
    <row r="494" spans="2:5" x14ac:dyDescent="0.25">
      <c r="B494" t="s">
        <v>91</v>
      </c>
      <c r="C494" t="s">
        <v>1406</v>
      </c>
      <c r="D494" t="s">
        <v>1407</v>
      </c>
      <c r="E494">
        <v>0</v>
      </c>
    </row>
    <row r="495" spans="2:5" x14ac:dyDescent="0.25">
      <c r="B495" t="s">
        <v>55</v>
      </c>
      <c r="C495" t="s">
        <v>1408</v>
      </c>
      <c r="D495" t="s">
        <v>1409</v>
      </c>
      <c r="E495">
        <v>0</v>
      </c>
    </row>
    <row r="496" spans="2:5" x14ac:dyDescent="0.25">
      <c r="B496" t="s">
        <v>763</v>
      </c>
      <c r="C496" t="s">
        <v>1410</v>
      </c>
      <c r="D496" t="s">
        <v>1411</v>
      </c>
      <c r="E496">
        <v>10</v>
      </c>
    </row>
    <row r="497" spans="2:5" x14ac:dyDescent="0.25">
      <c r="B497" t="s">
        <v>763</v>
      </c>
      <c r="C497" t="s">
        <v>1410</v>
      </c>
      <c r="D497" t="s">
        <v>1411</v>
      </c>
      <c r="E497">
        <v>0</v>
      </c>
    </row>
    <row r="498" spans="2:5" x14ac:dyDescent="0.25">
      <c r="B498" t="s">
        <v>8</v>
      </c>
      <c r="C498" t="s">
        <v>605</v>
      </c>
      <c r="D498" t="s">
        <v>606</v>
      </c>
      <c r="E498">
        <v>51180</v>
      </c>
    </row>
    <row r="499" spans="2:5" x14ac:dyDescent="0.25">
      <c r="B499" t="s">
        <v>8</v>
      </c>
      <c r="C499" t="s">
        <v>605</v>
      </c>
      <c r="D499" t="s">
        <v>606</v>
      </c>
      <c r="E499">
        <v>0</v>
      </c>
    </row>
    <row r="500" spans="2:5" x14ac:dyDescent="0.25">
      <c r="B500" t="s">
        <v>8</v>
      </c>
      <c r="C500" t="s">
        <v>605</v>
      </c>
      <c r="D500" t="s">
        <v>606</v>
      </c>
      <c r="E500">
        <v>0</v>
      </c>
    </row>
    <row r="501" spans="2:5" x14ac:dyDescent="0.25">
      <c r="B501" t="s">
        <v>17</v>
      </c>
      <c r="C501" t="s">
        <v>607</v>
      </c>
      <c r="D501" t="s">
        <v>608</v>
      </c>
      <c r="E501">
        <v>395</v>
      </c>
    </row>
    <row r="502" spans="2:5" x14ac:dyDescent="0.25">
      <c r="B502" t="s">
        <v>306</v>
      </c>
      <c r="C502" t="s">
        <v>609</v>
      </c>
      <c r="D502" t="s">
        <v>610</v>
      </c>
      <c r="E502">
        <v>793</v>
      </c>
    </row>
    <row r="503" spans="2:5" x14ac:dyDescent="0.25">
      <c r="B503" t="s">
        <v>164</v>
      </c>
      <c r="C503" t="s">
        <v>611</v>
      </c>
      <c r="D503" t="s">
        <v>612</v>
      </c>
      <c r="E503">
        <v>0</v>
      </c>
    </row>
    <row r="504" spans="2:5" x14ac:dyDescent="0.25">
      <c r="B504" t="s">
        <v>20</v>
      </c>
      <c r="C504" t="s">
        <v>613</v>
      </c>
      <c r="D504" t="s">
        <v>614</v>
      </c>
      <c r="E504">
        <v>0</v>
      </c>
    </row>
    <row r="505" spans="2:5" x14ac:dyDescent="0.25">
      <c r="B505" t="s">
        <v>20</v>
      </c>
      <c r="C505" t="s">
        <v>615</v>
      </c>
      <c r="D505" t="s">
        <v>616</v>
      </c>
      <c r="E505">
        <v>0</v>
      </c>
    </row>
    <row r="506" spans="2:5" x14ac:dyDescent="0.25">
      <c r="B506" t="s">
        <v>20</v>
      </c>
      <c r="C506" t="s">
        <v>617</v>
      </c>
      <c r="D506" t="s">
        <v>618</v>
      </c>
      <c r="E506">
        <v>0</v>
      </c>
    </row>
    <row r="507" spans="2:5" x14ac:dyDescent="0.25">
      <c r="B507" t="s">
        <v>25</v>
      </c>
      <c r="C507" t="s">
        <v>619</v>
      </c>
      <c r="D507" t="s">
        <v>620</v>
      </c>
      <c r="E507">
        <v>335</v>
      </c>
    </row>
    <row r="508" spans="2:5" x14ac:dyDescent="0.25">
      <c r="B508" t="s">
        <v>25</v>
      </c>
      <c r="C508" t="s">
        <v>619</v>
      </c>
      <c r="D508" t="s">
        <v>620</v>
      </c>
      <c r="E508">
        <v>0</v>
      </c>
    </row>
    <row r="509" spans="2:5" x14ac:dyDescent="0.25">
      <c r="B509" t="s">
        <v>25</v>
      </c>
      <c r="C509" t="s">
        <v>621</v>
      </c>
      <c r="D509" t="s">
        <v>622</v>
      </c>
      <c r="E509">
        <v>0</v>
      </c>
    </row>
    <row r="510" spans="2:5" x14ac:dyDescent="0.25">
      <c r="B510" t="s">
        <v>623</v>
      </c>
      <c r="C510" t="s">
        <v>624</v>
      </c>
      <c r="D510" t="s">
        <v>625</v>
      </c>
      <c r="E510">
        <v>0</v>
      </c>
    </row>
    <row r="511" spans="2:5" x14ac:dyDescent="0.25">
      <c r="B511" t="s">
        <v>261</v>
      </c>
      <c r="C511" t="s">
        <v>626</v>
      </c>
      <c r="D511" t="s">
        <v>627</v>
      </c>
      <c r="E511">
        <v>0</v>
      </c>
    </row>
    <row r="512" spans="2:5" x14ac:dyDescent="0.25">
      <c r="B512" t="s">
        <v>261</v>
      </c>
      <c r="C512" t="s">
        <v>626</v>
      </c>
      <c r="D512" t="s">
        <v>627</v>
      </c>
      <c r="E512">
        <v>0</v>
      </c>
    </row>
    <row r="513" spans="2:5" x14ac:dyDescent="0.25">
      <c r="B513" t="s">
        <v>14</v>
      </c>
      <c r="C513" t="s">
        <v>628</v>
      </c>
      <c r="D513" t="s">
        <v>629</v>
      </c>
      <c r="E513">
        <v>0</v>
      </c>
    </row>
    <row r="514" spans="2:5" x14ac:dyDescent="0.25">
      <c r="B514" t="s">
        <v>14</v>
      </c>
      <c r="C514" t="s">
        <v>628</v>
      </c>
      <c r="D514" t="s">
        <v>629</v>
      </c>
      <c r="E514">
        <v>0</v>
      </c>
    </row>
    <row r="515" spans="2:5" x14ac:dyDescent="0.25">
      <c r="B515" t="s">
        <v>73</v>
      </c>
      <c r="C515" t="s">
        <v>235</v>
      </c>
      <c r="D515" t="s">
        <v>236</v>
      </c>
      <c r="E515">
        <v>0</v>
      </c>
    </row>
    <row r="516" spans="2:5" x14ac:dyDescent="0.25">
      <c r="B516" t="s">
        <v>137</v>
      </c>
      <c r="C516" t="s">
        <v>138</v>
      </c>
      <c r="D516" t="s">
        <v>139</v>
      </c>
      <c r="E516">
        <v>2400</v>
      </c>
    </row>
    <row r="517" spans="2:5" x14ac:dyDescent="0.25">
      <c r="B517" t="s">
        <v>175</v>
      </c>
      <c r="C517" t="s">
        <v>178</v>
      </c>
      <c r="D517" t="s">
        <v>179</v>
      </c>
      <c r="E517">
        <v>3560</v>
      </c>
    </row>
    <row r="518" spans="2:5" x14ac:dyDescent="0.25">
      <c r="B518" t="s">
        <v>145</v>
      </c>
      <c r="C518" t="s">
        <v>225</v>
      </c>
      <c r="D518" t="s">
        <v>226</v>
      </c>
      <c r="E518">
        <v>0</v>
      </c>
    </row>
    <row r="519" spans="2:5" x14ac:dyDescent="0.25">
      <c r="B519" t="s">
        <v>40</v>
      </c>
      <c r="C519" t="s">
        <v>41</v>
      </c>
      <c r="D519" t="s">
        <v>42</v>
      </c>
      <c r="E519">
        <v>0</v>
      </c>
    </row>
    <row r="520" spans="2:5" x14ac:dyDescent="0.25">
      <c r="B520" t="s">
        <v>209</v>
      </c>
      <c r="C520" t="s">
        <v>210</v>
      </c>
      <c r="D520" t="s">
        <v>211</v>
      </c>
      <c r="E520">
        <v>0</v>
      </c>
    </row>
    <row r="521" spans="2:5" x14ac:dyDescent="0.25">
      <c r="B521" t="s">
        <v>120</v>
      </c>
      <c r="C521" t="s">
        <v>834</v>
      </c>
      <c r="D521" t="s">
        <v>835</v>
      </c>
      <c r="E521">
        <v>0</v>
      </c>
    </row>
    <row r="522" spans="2:5" x14ac:dyDescent="0.25">
      <c r="B522" t="s">
        <v>164</v>
      </c>
      <c r="C522" t="s">
        <v>167</v>
      </c>
      <c r="D522" t="s">
        <v>168</v>
      </c>
      <c r="E522">
        <v>0</v>
      </c>
    </row>
    <row r="523" spans="2:5" x14ac:dyDescent="0.25">
      <c r="B523" t="s">
        <v>209</v>
      </c>
      <c r="C523" t="s">
        <v>768</v>
      </c>
      <c r="D523" t="s">
        <v>769</v>
      </c>
      <c r="E523">
        <v>0</v>
      </c>
    </row>
    <row r="524" spans="2:5" x14ac:dyDescent="0.25">
      <c r="B524" t="s">
        <v>14</v>
      </c>
      <c r="C524" t="s">
        <v>47</v>
      </c>
      <c r="D524" t="s">
        <v>48</v>
      </c>
      <c r="E524">
        <v>0</v>
      </c>
    </row>
    <row r="525" spans="2:5" x14ac:dyDescent="0.25">
      <c r="B525" t="s">
        <v>20</v>
      </c>
      <c r="C525" t="s">
        <v>257</v>
      </c>
      <c r="D525" t="s">
        <v>258</v>
      </c>
      <c r="E525">
        <v>0</v>
      </c>
    </row>
    <row r="526" spans="2:5" x14ac:dyDescent="0.25">
      <c r="B526" t="s">
        <v>8</v>
      </c>
      <c r="C526" t="s">
        <v>9</v>
      </c>
      <c r="D526" t="s">
        <v>10</v>
      </c>
      <c r="E526">
        <v>0</v>
      </c>
    </row>
    <row r="527" spans="2:5" x14ac:dyDescent="0.25">
      <c r="B527" t="s">
        <v>770</v>
      </c>
      <c r="C527" t="s">
        <v>771</v>
      </c>
      <c r="D527" t="s">
        <v>772</v>
      </c>
      <c r="E527">
        <v>0</v>
      </c>
    </row>
    <row r="528" spans="2:5" x14ac:dyDescent="0.25">
      <c r="B528" t="s">
        <v>773</v>
      </c>
      <c r="C528" t="s">
        <v>774</v>
      </c>
      <c r="D528" t="s">
        <v>775</v>
      </c>
      <c r="E528">
        <v>0</v>
      </c>
    </row>
    <row r="529" spans="2:5" x14ac:dyDescent="0.25">
      <c r="B529" t="s">
        <v>64</v>
      </c>
      <c r="C529" t="s">
        <v>776</v>
      </c>
      <c r="D529" t="s">
        <v>777</v>
      </c>
      <c r="E529">
        <v>0</v>
      </c>
    </row>
    <row r="530" spans="2:5" x14ac:dyDescent="0.25">
      <c r="B530" t="s">
        <v>73</v>
      </c>
      <c r="C530" t="s">
        <v>778</v>
      </c>
      <c r="D530" t="s">
        <v>779</v>
      </c>
      <c r="E530">
        <v>0</v>
      </c>
    </row>
    <row r="531" spans="2:5" x14ac:dyDescent="0.25">
      <c r="B531" t="s">
        <v>214</v>
      </c>
      <c r="C531" t="s">
        <v>780</v>
      </c>
      <c r="D531" t="s">
        <v>781</v>
      </c>
      <c r="E531">
        <v>330</v>
      </c>
    </row>
    <row r="532" spans="2:5" x14ac:dyDescent="0.25">
      <c r="B532" t="s">
        <v>214</v>
      </c>
      <c r="C532" t="s">
        <v>780</v>
      </c>
      <c r="D532" t="s">
        <v>781</v>
      </c>
      <c r="E532">
        <v>0</v>
      </c>
    </row>
    <row r="533" spans="2:5" x14ac:dyDescent="0.25">
      <c r="B533" t="s">
        <v>58</v>
      </c>
      <c r="C533" t="s">
        <v>782</v>
      </c>
      <c r="D533" t="s">
        <v>783</v>
      </c>
      <c r="E533">
        <v>0</v>
      </c>
    </row>
    <row r="534" spans="2:5" x14ac:dyDescent="0.25">
      <c r="B534" t="s">
        <v>58</v>
      </c>
      <c r="C534" t="s">
        <v>784</v>
      </c>
      <c r="D534" t="s">
        <v>785</v>
      </c>
      <c r="E534">
        <v>0</v>
      </c>
    </row>
    <row r="535" spans="2:5" x14ac:dyDescent="0.25">
      <c r="B535" t="s">
        <v>145</v>
      </c>
      <c r="C535" t="s">
        <v>225</v>
      </c>
      <c r="D535" t="s">
        <v>226</v>
      </c>
      <c r="E535">
        <v>0</v>
      </c>
    </row>
    <row r="536" spans="2:5" x14ac:dyDescent="0.25">
      <c r="B536" t="s">
        <v>145</v>
      </c>
      <c r="C536" t="s">
        <v>225</v>
      </c>
      <c r="D536" t="s">
        <v>226</v>
      </c>
      <c r="E536">
        <v>0</v>
      </c>
    </row>
    <row r="537" spans="2:5" x14ac:dyDescent="0.25">
      <c r="B537" t="s">
        <v>145</v>
      </c>
      <c r="C537" t="s">
        <v>146</v>
      </c>
      <c r="D537" t="s">
        <v>147</v>
      </c>
      <c r="E537">
        <v>18720</v>
      </c>
    </row>
    <row r="538" spans="2:5" x14ac:dyDescent="0.25">
      <c r="B538" t="s">
        <v>145</v>
      </c>
      <c r="C538" t="s">
        <v>146</v>
      </c>
      <c r="D538" t="s">
        <v>147</v>
      </c>
      <c r="E538">
        <v>360</v>
      </c>
    </row>
    <row r="539" spans="2:5" x14ac:dyDescent="0.25">
      <c r="B539" t="s">
        <v>145</v>
      </c>
      <c r="C539" t="s">
        <v>146</v>
      </c>
      <c r="D539" t="s">
        <v>147</v>
      </c>
      <c r="E539">
        <v>0</v>
      </c>
    </row>
    <row r="540" spans="2:5" x14ac:dyDescent="0.25">
      <c r="B540" t="s">
        <v>786</v>
      </c>
      <c r="C540" t="s">
        <v>787</v>
      </c>
      <c r="D540" t="s">
        <v>788</v>
      </c>
      <c r="E540">
        <v>0</v>
      </c>
    </row>
    <row r="541" spans="2:5" x14ac:dyDescent="0.25">
      <c r="B541" t="s">
        <v>61</v>
      </c>
      <c r="C541" t="s">
        <v>159</v>
      </c>
      <c r="D541" t="s">
        <v>160</v>
      </c>
      <c r="E541">
        <v>0</v>
      </c>
    </row>
    <row r="542" spans="2:5" x14ac:dyDescent="0.25">
      <c r="B542" t="s">
        <v>64</v>
      </c>
      <c r="C542" t="s">
        <v>789</v>
      </c>
      <c r="D542" t="s">
        <v>790</v>
      </c>
      <c r="E542">
        <v>47</v>
      </c>
    </row>
    <row r="543" spans="2:5" x14ac:dyDescent="0.25">
      <c r="B543" t="s">
        <v>64</v>
      </c>
      <c r="C543" t="s">
        <v>791</v>
      </c>
      <c r="D543" t="s">
        <v>792</v>
      </c>
      <c r="E543">
        <v>0</v>
      </c>
    </row>
    <row r="544" spans="2:5" x14ac:dyDescent="0.25">
      <c r="B544" t="s">
        <v>195</v>
      </c>
      <c r="C544" t="s">
        <v>793</v>
      </c>
      <c r="D544" t="s">
        <v>794</v>
      </c>
      <c r="E544">
        <v>0</v>
      </c>
    </row>
    <row r="545" spans="2:5" x14ac:dyDescent="0.25">
      <c r="B545" t="s">
        <v>117</v>
      </c>
      <c r="C545" t="s">
        <v>795</v>
      </c>
      <c r="D545" t="s">
        <v>796</v>
      </c>
      <c r="E545">
        <v>197</v>
      </c>
    </row>
    <row r="546" spans="2:5" x14ac:dyDescent="0.25">
      <c r="B546" t="s">
        <v>117</v>
      </c>
      <c r="C546" t="s">
        <v>795</v>
      </c>
      <c r="D546" t="s">
        <v>796</v>
      </c>
      <c r="E546">
        <v>0</v>
      </c>
    </row>
    <row r="547" spans="2:5" x14ac:dyDescent="0.25">
      <c r="B547" t="s">
        <v>117</v>
      </c>
      <c r="C547" t="s">
        <v>118</v>
      </c>
      <c r="D547" t="s">
        <v>119</v>
      </c>
      <c r="E547">
        <v>4220</v>
      </c>
    </row>
    <row r="548" spans="2:5" x14ac:dyDescent="0.25">
      <c r="B548" t="s">
        <v>797</v>
      </c>
      <c r="C548" t="s">
        <v>798</v>
      </c>
      <c r="D548" t="s">
        <v>799</v>
      </c>
      <c r="E548">
        <v>0</v>
      </c>
    </row>
    <row r="549" spans="2:5" x14ac:dyDescent="0.25">
      <c r="B549" t="s">
        <v>797</v>
      </c>
      <c r="C549" t="s">
        <v>798</v>
      </c>
      <c r="D549" t="s">
        <v>799</v>
      </c>
      <c r="E549">
        <v>0</v>
      </c>
    </row>
    <row r="550" spans="2:5" x14ac:dyDescent="0.25">
      <c r="B550" t="s">
        <v>797</v>
      </c>
      <c r="C550" t="s">
        <v>800</v>
      </c>
      <c r="D550" t="s">
        <v>758</v>
      </c>
      <c r="E550">
        <v>0</v>
      </c>
    </row>
    <row r="551" spans="2:5" x14ac:dyDescent="0.25">
      <c r="B551" t="s">
        <v>801</v>
      </c>
      <c r="C551" t="s">
        <v>802</v>
      </c>
      <c r="D551" t="s">
        <v>803</v>
      </c>
      <c r="E551">
        <v>0</v>
      </c>
    </row>
    <row r="552" spans="2:5" x14ac:dyDescent="0.25">
      <c r="B552" t="s">
        <v>804</v>
      </c>
      <c r="C552" t="s">
        <v>805</v>
      </c>
      <c r="D552" t="s">
        <v>806</v>
      </c>
      <c r="E552">
        <v>385</v>
      </c>
    </row>
    <row r="553" spans="2:5" x14ac:dyDescent="0.25">
      <c r="B553" t="s">
        <v>804</v>
      </c>
      <c r="C553" t="s">
        <v>805</v>
      </c>
      <c r="D553" t="s">
        <v>806</v>
      </c>
      <c r="E553">
        <v>0</v>
      </c>
    </row>
    <row r="554" spans="2:5" x14ac:dyDescent="0.25">
      <c r="B554" t="s">
        <v>73</v>
      </c>
      <c r="C554" t="s">
        <v>807</v>
      </c>
      <c r="D554" t="s">
        <v>808</v>
      </c>
      <c r="E554">
        <v>0</v>
      </c>
    </row>
    <row r="555" spans="2:5" x14ac:dyDescent="0.25">
      <c r="B555" t="s">
        <v>73</v>
      </c>
      <c r="C555" t="s">
        <v>235</v>
      </c>
      <c r="D555" t="s">
        <v>236</v>
      </c>
      <c r="E555">
        <v>63</v>
      </c>
    </row>
    <row r="556" spans="2:5" x14ac:dyDescent="0.25">
      <c r="B556" t="s">
        <v>73</v>
      </c>
      <c r="C556" t="s">
        <v>235</v>
      </c>
      <c r="D556" t="s">
        <v>236</v>
      </c>
      <c r="E556">
        <v>0</v>
      </c>
    </row>
    <row r="557" spans="2:5" x14ac:dyDescent="0.25">
      <c r="B557" t="s">
        <v>73</v>
      </c>
      <c r="C557" t="s">
        <v>809</v>
      </c>
      <c r="D557" t="s">
        <v>810</v>
      </c>
      <c r="E557">
        <v>0</v>
      </c>
    </row>
    <row r="558" spans="2:5" x14ac:dyDescent="0.25">
      <c r="B558" t="s">
        <v>73</v>
      </c>
      <c r="C558" t="s">
        <v>809</v>
      </c>
      <c r="D558" t="s">
        <v>810</v>
      </c>
      <c r="E558">
        <v>0</v>
      </c>
    </row>
    <row r="559" spans="2:5" x14ac:dyDescent="0.25">
      <c r="B559" t="s">
        <v>161</v>
      </c>
      <c r="C559" t="s">
        <v>162</v>
      </c>
      <c r="D559" t="s">
        <v>163</v>
      </c>
      <c r="E559">
        <v>0</v>
      </c>
    </row>
    <row r="560" spans="2:5" x14ac:dyDescent="0.25">
      <c r="B560" t="s">
        <v>164</v>
      </c>
      <c r="C560" t="s">
        <v>169</v>
      </c>
      <c r="D560" t="s">
        <v>170</v>
      </c>
      <c r="E560">
        <v>0</v>
      </c>
    </row>
    <row r="561" spans="2:5" x14ac:dyDescent="0.25">
      <c r="B561" t="s">
        <v>269</v>
      </c>
      <c r="C561" t="s">
        <v>270</v>
      </c>
      <c r="D561" t="s">
        <v>271</v>
      </c>
      <c r="E561">
        <v>0</v>
      </c>
    </row>
    <row r="562" spans="2:5" x14ac:dyDescent="0.25">
      <c r="B562" t="s">
        <v>770</v>
      </c>
      <c r="C562" t="s">
        <v>771</v>
      </c>
      <c r="D562" t="s">
        <v>772</v>
      </c>
      <c r="E562">
        <v>1320</v>
      </c>
    </row>
    <row r="563" spans="2:5" x14ac:dyDescent="0.25">
      <c r="B563" t="s">
        <v>83</v>
      </c>
      <c r="C563" t="s">
        <v>811</v>
      </c>
      <c r="D563" t="s">
        <v>812</v>
      </c>
      <c r="E563">
        <v>0</v>
      </c>
    </row>
    <row r="564" spans="2:5" x14ac:dyDescent="0.25">
      <c r="B564" t="s">
        <v>623</v>
      </c>
      <c r="C564" t="s">
        <v>813</v>
      </c>
      <c r="D564" t="s">
        <v>814</v>
      </c>
      <c r="E564">
        <v>44</v>
      </c>
    </row>
    <row r="565" spans="2:5" x14ac:dyDescent="0.25">
      <c r="B565" t="s">
        <v>623</v>
      </c>
      <c r="C565" t="s">
        <v>813</v>
      </c>
      <c r="D565" t="s">
        <v>814</v>
      </c>
      <c r="E565">
        <v>0</v>
      </c>
    </row>
    <row r="566" spans="2:5" x14ac:dyDescent="0.25">
      <c r="B566" t="s">
        <v>52</v>
      </c>
      <c r="C566" t="s">
        <v>815</v>
      </c>
      <c r="D566" t="s">
        <v>816</v>
      </c>
      <c r="E566">
        <v>18700</v>
      </c>
    </row>
    <row r="567" spans="2:5" x14ac:dyDescent="0.25">
      <c r="B567" t="s">
        <v>52</v>
      </c>
      <c r="C567" t="s">
        <v>815</v>
      </c>
      <c r="D567" t="s">
        <v>816</v>
      </c>
      <c r="E567">
        <v>0</v>
      </c>
    </row>
    <row r="568" spans="2:5" x14ac:dyDescent="0.25">
      <c r="B568" t="s">
        <v>52</v>
      </c>
      <c r="C568" t="s">
        <v>817</v>
      </c>
      <c r="D568" t="s">
        <v>818</v>
      </c>
      <c r="E568">
        <v>0</v>
      </c>
    </row>
    <row r="569" spans="2:5" x14ac:dyDescent="0.25">
      <c r="B569" t="s">
        <v>52</v>
      </c>
      <c r="C569" t="s">
        <v>244</v>
      </c>
      <c r="D569" t="s">
        <v>245</v>
      </c>
      <c r="E569">
        <v>0</v>
      </c>
    </row>
    <row r="570" spans="2:5" x14ac:dyDescent="0.25">
      <c r="B570" t="s">
        <v>52</v>
      </c>
      <c r="C570" t="s">
        <v>819</v>
      </c>
      <c r="D570" t="s">
        <v>820</v>
      </c>
      <c r="E570">
        <v>10</v>
      </c>
    </row>
    <row r="571" spans="2:5" x14ac:dyDescent="0.25">
      <c r="B571" t="s">
        <v>52</v>
      </c>
      <c r="C571" t="s">
        <v>819</v>
      </c>
      <c r="D571" t="s">
        <v>820</v>
      </c>
      <c r="E571">
        <v>0</v>
      </c>
    </row>
    <row r="572" spans="2:5" x14ac:dyDescent="0.25">
      <c r="B572" t="s">
        <v>521</v>
      </c>
      <c r="C572" t="s">
        <v>821</v>
      </c>
      <c r="D572" t="s">
        <v>822</v>
      </c>
      <c r="E572">
        <v>10</v>
      </c>
    </row>
    <row r="573" spans="2:5" x14ac:dyDescent="0.25">
      <c r="B573" t="s">
        <v>521</v>
      </c>
      <c r="C573" t="s">
        <v>821</v>
      </c>
      <c r="D573" t="s">
        <v>822</v>
      </c>
      <c r="E573">
        <v>0</v>
      </c>
    </row>
    <row r="574" spans="2:5" x14ac:dyDescent="0.25">
      <c r="B574" t="s">
        <v>521</v>
      </c>
      <c r="C574" t="s">
        <v>821</v>
      </c>
      <c r="D574" t="s">
        <v>822</v>
      </c>
      <c r="E574">
        <v>0</v>
      </c>
    </row>
    <row r="575" spans="2:5" x14ac:dyDescent="0.25">
      <c r="B575" t="s">
        <v>125</v>
      </c>
      <c r="C575" t="s">
        <v>126</v>
      </c>
      <c r="D575" t="s">
        <v>127</v>
      </c>
      <c r="E575">
        <v>0</v>
      </c>
    </row>
    <row r="576" spans="2:5" x14ac:dyDescent="0.25">
      <c r="B576" t="s">
        <v>125</v>
      </c>
      <c r="C576" t="s">
        <v>126</v>
      </c>
      <c r="D576" t="s">
        <v>127</v>
      </c>
      <c r="E576">
        <v>0</v>
      </c>
    </row>
    <row r="577" spans="2:5" x14ac:dyDescent="0.25">
      <c r="B577" t="s">
        <v>125</v>
      </c>
      <c r="C577" t="s">
        <v>126</v>
      </c>
      <c r="D577" t="s">
        <v>127</v>
      </c>
      <c r="E577">
        <v>0</v>
      </c>
    </row>
    <row r="578" spans="2:5" x14ac:dyDescent="0.25">
      <c r="B578" t="s">
        <v>275</v>
      </c>
      <c r="C578" t="s">
        <v>276</v>
      </c>
      <c r="D578" t="s">
        <v>277</v>
      </c>
      <c r="E578">
        <v>29</v>
      </c>
    </row>
    <row r="579" spans="2:5" x14ac:dyDescent="0.25">
      <c r="B579" t="s">
        <v>164</v>
      </c>
      <c r="C579" t="s">
        <v>165</v>
      </c>
      <c r="D579" t="s">
        <v>166</v>
      </c>
      <c r="E579">
        <v>176</v>
      </c>
    </row>
    <row r="580" spans="2:5" x14ac:dyDescent="0.25">
      <c r="B580" t="s">
        <v>164</v>
      </c>
      <c r="C580" t="s">
        <v>823</v>
      </c>
      <c r="D580" t="s">
        <v>824</v>
      </c>
      <c r="E580">
        <v>0</v>
      </c>
    </row>
    <row r="581" spans="2:5" x14ac:dyDescent="0.25">
      <c r="B581" t="s">
        <v>164</v>
      </c>
      <c r="C581" t="s">
        <v>823</v>
      </c>
      <c r="D581" t="s">
        <v>824</v>
      </c>
      <c r="E581">
        <v>0</v>
      </c>
    </row>
    <row r="582" spans="2:5" x14ac:dyDescent="0.25">
      <c r="B582" t="s">
        <v>203</v>
      </c>
      <c r="C582" t="s">
        <v>825</v>
      </c>
      <c r="D582" t="s">
        <v>826</v>
      </c>
      <c r="E582">
        <v>0</v>
      </c>
    </row>
    <row r="583" spans="2:5" x14ac:dyDescent="0.25">
      <c r="B583" t="s">
        <v>161</v>
      </c>
      <c r="C583" t="s">
        <v>827</v>
      </c>
      <c r="D583" t="s">
        <v>828</v>
      </c>
      <c r="E583">
        <v>200</v>
      </c>
    </row>
    <row r="584" spans="2:5" x14ac:dyDescent="0.25">
      <c r="B584" t="s">
        <v>91</v>
      </c>
      <c r="C584" t="s">
        <v>829</v>
      </c>
      <c r="D584" t="s">
        <v>830</v>
      </c>
      <c r="E584">
        <v>0</v>
      </c>
    </row>
    <row r="585" spans="2:5" x14ac:dyDescent="0.25">
      <c r="B585" t="s">
        <v>91</v>
      </c>
      <c r="C585" t="s">
        <v>829</v>
      </c>
      <c r="D585" t="s">
        <v>830</v>
      </c>
      <c r="E585">
        <v>0</v>
      </c>
    </row>
    <row r="586" spans="2:5" x14ac:dyDescent="0.25">
      <c r="B586" t="s">
        <v>91</v>
      </c>
      <c r="C586" t="s">
        <v>829</v>
      </c>
      <c r="D586" t="s">
        <v>830</v>
      </c>
      <c r="E586">
        <v>0</v>
      </c>
    </row>
    <row r="587" spans="2:5" x14ac:dyDescent="0.25">
      <c r="B587" t="s">
        <v>831</v>
      </c>
      <c r="C587" t="s">
        <v>832</v>
      </c>
      <c r="D587" t="s">
        <v>833</v>
      </c>
      <c r="E587">
        <v>0</v>
      </c>
    </row>
    <row r="588" spans="2:5" x14ac:dyDescent="0.25">
      <c r="B588" t="s">
        <v>8</v>
      </c>
      <c r="C588" t="s">
        <v>171</v>
      </c>
      <c r="D588" t="s">
        <v>172</v>
      </c>
      <c r="E588">
        <v>8</v>
      </c>
    </row>
    <row r="589" spans="2:5" x14ac:dyDescent="0.25">
      <c r="B589" t="s">
        <v>8</v>
      </c>
      <c r="C589" t="s">
        <v>9</v>
      </c>
      <c r="D589" t="s">
        <v>10</v>
      </c>
      <c r="E589">
        <v>900</v>
      </c>
    </row>
    <row r="590" spans="2:5" x14ac:dyDescent="0.25">
      <c r="B590" t="s">
        <v>8</v>
      </c>
      <c r="C590" t="s">
        <v>9</v>
      </c>
      <c r="D590" t="s">
        <v>10</v>
      </c>
      <c r="E590">
        <v>0</v>
      </c>
    </row>
    <row r="591" spans="2:5" x14ac:dyDescent="0.25">
      <c r="B591" t="s">
        <v>11</v>
      </c>
      <c r="C591" t="s">
        <v>12</v>
      </c>
      <c r="D591" t="s">
        <v>13</v>
      </c>
      <c r="E591">
        <v>0</v>
      </c>
    </row>
    <row r="592" spans="2:5" x14ac:dyDescent="0.25">
      <c r="B592" t="s">
        <v>14</v>
      </c>
      <c r="C592" t="s">
        <v>15</v>
      </c>
      <c r="D592" t="s">
        <v>16</v>
      </c>
      <c r="E592">
        <v>0</v>
      </c>
    </row>
    <row r="593" spans="2:5" x14ac:dyDescent="0.25">
      <c r="B593" t="s">
        <v>17</v>
      </c>
      <c r="C593" t="s">
        <v>18</v>
      </c>
      <c r="D593" t="s">
        <v>19</v>
      </c>
      <c r="E593">
        <v>0</v>
      </c>
    </row>
    <row r="594" spans="2:5" x14ac:dyDescent="0.25">
      <c r="B594" t="s">
        <v>20</v>
      </c>
      <c r="C594" t="s">
        <v>21</v>
      </c>
      <c r="D594" t="s">
        <v>22</v>
      </c>
      <c r="E594">
        <v>100</v>
      </c>
    </row>
    <row r="595" spans="2:5" x14ac:dyDescent="0.25">
      <c r="B595" t="s">
        <v>20</v>
      </c>
      <c r="C595" t="s">
        <v>21</v>
      </c>
      <c r="D595" t="s">
        <v>22</v>
      </c>
      <c r="E595">
        <v>0</v>
      </c>
    </row>
    <row r="596" spans="2:5" x14ac:dyDescent="0.25">
      <c r="B596" t="s">
        <v>20</v>
      </c>
      <c r="C596" t="s">
        <v>23</v>
      </c>
      <c r="D596" t="s">
        <v>24</v>
      </c>
      <c r="E596">
        <v>5</v>
      </c>
    </row>
    <row r="597" spans="2:5" x14ac:dyDescent="0.25">
      <c r="B597" t="s">
        <v>20</v>
      </c>
      <c r="C597" t="s">
        <v>23</v>
      </c>
      <c r="D597" t="s">
        <v>24</v>
      </c>
      <c r="E597">
        <v>0</v>
      </c>
    </row>
    <row r="598" spans="2:5" x14ac:dyDescent="0.25">
      <c r="B598" t="s">
        <v>25</v>
      </c>
      <c r="C598" t="s">
        <v>26</v>
      </c>
      <c r="D598" t="s">
        <v>27</v>
      </c>
      <c r="E598">
        <v>0</v>
      </c>
    </row>
    <row r="599" spans="2:5" x14ac:dyDescent="0.25">
      <c r="B599" t="s">
        <v>25</v>
      </c>
      <c r="C599" t="s">
        <v>26</v>
      </c>
      <c r="D599" t="s">
        <v>27</v>
      </c>
      <c r="E599">
        <v>0</v>
      </c>
    </row>
    <row r="600" spans="2:5" x14ac:dyDescent="0.25">
      <c r="B600" t="s">
        <v>14</v>
      </c>
      <c r="C600" t="s">
        <v>318</v>
      </c>
      <c r="D600" t="s">
        <v>319</v>
      </c>
      <c r="E600">
        <v>0</v>
      </c>
    </row>
    <row r="601" spans="2:5" x14ac:dyDescent="0.25">
      <c r="B601" t="s">
        <v>438</v>
      </c>
      <c r="C601" t="s">
        <v>439</v>
      </c>
      <c r="D601" t="s">
        <v>440</v>
      </c>
      <c r="E601">
        <v>0</v>
      </c>
    </row>
    <row r="602" spans="2:5" x14ac:dyDescent="0.25">
      <c r="B602" t="s">
        <v>11</v>
      </c>
      <c r="C602" t="s">
        <v>941</v>
      </c>
      <c r="D602" t="s">
        <v>942</v>
      </c>
      <c r="E602">
        <v>0</v>
      </c>
    </row>
    <row r="603" spans="2:5" x14ac:dyDescent="0.25">
      <c r="B603" t="s">
        <v>131</v>
      </c>
      <c r="C603" t="s">
        <v>943</v>
      </c>
      <c r="D603" t="s">
        <v>944</v>
      </c>
      <c r="E603">
        <v>0</v>
      </c>
    </row>
    <row r="604" spans="2:5" x14ac:dyDescent="0.25">
      <c r="B604" t="s">
        <v>518</v>
      </c>
      <c r="C604" t="s">
        <v>875</v>
      </c>
      <c r="D604" t="s">
        <v>876</v>
      </c>
      <c r="E604">
        <v>0</v>
      </c>
    </row>
    <row r="605" spans="2:5" x14ac:dyDescent="0.25">
      <c r="B605" t="s">
        <v>131</v>
      </c>
      <c r="C605" t="s">
        <v>943</v>
      </c>
      <c r="D605" t="s">
        <v>944</v>
      </c>
      <c r="E605">
        <v>45</v>
      </c>
    </row>
    <row r="606" spans="2:5" x14ac:dyDescent="0.25">
      <c r="B606" t="s">
        <v>131</v>
      </c>
      <c r="C606" t="s">
        <v>945</v>
      </c>
      <c r="D606" t="s">
        <v>946</v>
      </c>
      <c r="E606">
        <v>0</v>
      </c>
    </row>
    <row r="607" spans="2:5" x14ac:dyDescent="0.25">
      <c r="B607" t="s">
        <v>131</v>
      </c>
      <c r="C607" t="s">
        <v>945</v>
      </c>
      <c r="D607" t="s">
        <v>946</v>
      </c>
      <c r="E607">
        <v>0</v>
      </c>
    </row>
    <row r="608" spans="2:5" x14ac:dyDescent="0.25">
      <c r="B608" t="s">
        <v>58</v>
      </c>
      <c r="C608" t="s">
        <v>947</v>
      </c>
      <c r="D608" t="s">
        <v>948</v>
      </c>
      <c r="E608">
        <v>2650</v>
      </c>
    </row>
    <row r="609" spans="2:5" x14ac:dyDescent="0.25">
      <c r="B609" t="s">
        <v>222</v>
      </c>
      <c r="C609" t="s">
        <v>949</v>
      </c>
      <c r="D609" t="s">
        <v>950</v>
      </c>
      <c r="E609">
        <v>0</v>
      </c>
    </row>
    <row r="610" spans="2:5" x14ac:dyDescent="0.25">
      <c r="B610" t="s">
        <v>222</v>
      </c>
      <c r="C610" t="s">
        <v>949</v>
      </c>
      <c r="D610" t="s">
        <v>950</v>
      </c>
      <c r="E610">
        <v>0</v>
      </c>
    </row>
    <row r="611" spans="2:5" x14ac:dyDescent="0.25">
      <c r="B611" t="s">
        <v>377</v>
      </c>
      <c r="C611" t="s">
        <v>378</v>
      </c>
      <c r="D611" t="s">
        <v>379</v>
      </c>
      <c r="E611">
        <v>150</v>
      </c>
    </row>
    <row r="612" spans="2:5" x14ac:dyDescent="0.25">
      <c r="B612" t="s">
        <v>377</v>
      </c>
      <c r="C612" t="s">
        <v>378</v>
      </c>
      <c r="D612" t="s">
        <v>379</v>
      </c>
      <c r="E612">
        <v>0</v>
      </c>
    </row>
    <row r="613" spans="2:5" x14ac:dyDescent="0.25">
      <c r="B613" t="s">
        <v>61</v>
      </c>
      <c r="C613" t="s">
        <v>1169</v>
      </c>
      <c r="D613" t="s">
        <v>1170</v>
      </c>
      <c r="E613">
        <v>0</v>
      </c>
    </row>
    <row r="614" spans="2:5" x14ac:dyDescent="0.25">
      <c r="B614" t="s">
        <v>61</v>
      </c>
      <c r="C614" t="s">
        <v>1171</v>
      </c>
      <c r="D614" t="s">
        <v>1172</v>
      </c>
      <c r="E614">
        <v>31</v>
      </c>
    </row>
    <row r="615" spans="2:5" x14ac:dyDescent="0.25">
      <c r="B615" t="s">
        <v>61</v>
      </c>
      <c r="C615" t="s">
        <v>1171</v>
      </c>
      <c r="D615" t="s">
        <v>1172</v>
      </c>
      <c r="E615">
        <v>0</v>
      </c>
    </row>
    <row r="616" spans="2:5" x14ac:dyDescent="0.25">
      <c r="B616" t="s">
        <v>496</v>
      </c>
      <c r="C616" t="s">
        <v>1173</v>
      </c>
      <c r="D616" t="s">
        <v>1174</v>
      </c>
      <c r="E616">
        <v>0</v>
      </c>
    </row>
    <row r="617" spans="2:5" x14ac:dyDescent="0.25">
      <c r="B617" t="s">
        <v>496</v>
      </c>
      <c r="C617" t="s">
        <v>1173</v>
      </c>
      <c r="D617" t="s">
        <v>1174</v>
      </c>
      <c r="E617">
        <v>0</v>
      </c>
    </row>
    <row r="618" spans="2:5" x14ac:dyDescent="0.25">
      <c r="B618" t="s">
        <v>217</v>
      </c>
      <c r="C618" t="s">
        <v>1175</v>
      </c>
      <c r="D618" t="s">
        <v>1176</v>
      </c>
      <c r="E618">
        <v>900</v>
      </c>
    </row>
    <row r="619" spans="2:5" x14ac:dyDescent="0.25">
      <c r="B619" t="s">
        <v>64</v>
      </c>
      <c r="C619" t="s">
        <v>1177</v>
      </c>
      <c r="D619" t="s">
        <v>1178</v>
      </c>
      <c r="E619">
        <v>70</v>
      </c>
    </row>
    <row r="620" spans="2:5" x14ac:dyDescent="0.25">
      <c r="B620" t="s">
        <v>64</v>
      </c>
      <c r="C620" t="s">
        <v>1179</v>
      </c>
      <c r="D620" t="s">
        <v>1180</v>
      </c>
      <c r="E620">
        <v>0</v>
      </c>
    </row>
    <row r="621" spans="2:5" x14ac:dyDescent="0.25">
      <c r="B621" t="s">
        <v>64</v>
      </c>
      <c r="C621" t="s">
        <v>1179</v>
      </c>
      <c r="D621" t="s">
        <v>1180</v>
      </c>
      <c r="E621">
        <v>0</v>
      </c>
    </row>
    <row r="622" spans="2:5" x14ac:dyDescent="0.25">
      <c r="B622" t="s">
        <v>64</v>
      </c>
      <c r="C622" t="s">
        <v>1181</v>
      </c>
      <c r="D622" t="s">
        <v>1182</v>
      </c>
      <c r="E622">
        <v>0</v>
      </c>
    </row>
    <row r="623" spans="2:5" x14ac:dyDescent="0.25">
      <c r="B623" t="s">
        <v>64</v>
      </c>
      <c r="C623" t="s">
        <v>1181</v>
      </c>
      <c r="D623" t="s">
        <v>1182</v>
      </c>
      <c r="E623">
        <v>0</v>
      </c>
    </row>
    <row r="624" spans="2:5" x14ac:dyDescent="0.25">
      <c r="B624" t="s">
        <v>195</v>
      </c>
      <c r="C624" t="s">
        <v>1183</v>
      </c>
      <c r="D624" t="s">
        <v>1184</v>
      </c>
      <c r="E624">
        <v>129</v>
      </c>
    </row>
    <row r="625" spans="2:5" x14ac:dyDescent="0.25">
      <c r="B625" t="s">
        <v>195</v>
      </c>
      <c r="C625" t="s">
        <v>1183</v>
      </c>
      <c r="D625" t="s">
        <v>1184</v>
      </c>
      <c r="E625">
        <v>0</v>
      </c>
    </row>
    <row r="626" spans="2:5" x14ac:dyDescent="0.25">
      <c r="B626" t="s">
        <v>195</v>
      </c>
      <c r="C626" t="s">
        <v>1185</v>
      </c>
      <c r="D626" t="s">
        <v>1186</v>
      </c>
      <c r="E626">
        <v>0</v>
      </c>
    </row>
    <row r="627" spans="2:5" x14ac:dyDescent="0.25">
      <c r="B627" t="s">
        <v>195</v>
      </c>
      <c r="C627" t="s">
        <v>1185</v>
      </c>
      <c r="D627" t="s">
        <v>1186</v>
      </c>
      <c r="E627">
        <v>0</v>
      </c>
    </row>
    <row r="628" spans="2:5" x14ac:dyDescent="0.25">
      <c r="B628" t="s">
        <v>117</v>
      </c>
      <c r="C628" t="s">
        <v>1187</v>
      </c>
      <c r="D628" t="s">
        <v>1188</v>
      </c>
      <c r="E628">
        <v>0</v>
      </c>
    </row>
    <row r="629" spans="2:5" x14ac:dyDescent="0.25">
      <c r="B629" t="s">
        <v>117</v>
      </c>
      <c r="C629" t="s">
        <v>1187</v>
      </c>
      <c r="D629" t="s">
        <v>1188</v>
      </c>
      <c r="E629">
        <v>0</v>
      </c>
    </row>
    <row r="630" spans="2:5" x14ac:dyDescent="0.25">
      <c r="B630" t="s">
        <v>117</v>
      </c>
      <c r="C630" t="s">
        <v>1189</v>
      </c>
      <c r="D630" t="s">
        <v>1190</v>
      </c>
      <c r="E630">
        <v>0</v>
      </c>
    </row>
    <row r="631" spans="2:5" x14ac:dyDescent="0.25">
      <c r="B631" t="s">
        <v>1191</v>
      </c>
      <c r="C631" t="s">
        <v>1192</v>
      </c>
      <c r="D631" t="s">
        <v>1193</v>
      </c>
      <c r="E631">
        <v>0</v>
      </c>
    </row>
    <row r="632" spans="2:5" x14ac:dyDescent="0.25">
      <c r="B632" t="s">
        <v>860</v>
      </c>
      <c r="C632" t="s">
        <v>861</v>
      </c>
      <c r="D632" t="s">
        <v>862</v>
      </c>
      <c r="E632">
        <v>0</v>
      </c>
    </row>
    <row r="633" spans="2:5" x14ac:dyDescent="0.25">
      <c r="B633" t="s">
        <v>352</v>
      </c>
      <c r="C633" t="s">
        <v>1194</v>
      </c>
      <c r="D633" t="s">
        <v>1195</v>
      </c>
      <c r="E633">
        <v>0</v>
      </c>
    </row>
    <row r="634" spans="2:5" x14ac:dyDescent="0.25">
      <c r="B634" t="s">
        <v>623</v>
      </c>
      <c r="C634" t="s">
        <v>925</v>
      </c>
      <c r="D634" t="s">
        <v>926</v>
      </c>
      <c r="E634">
        <v>2025</v>
      </c>
    </row>
    <row r="635" spans="2:5" x14ac:dyDescent="0.25">
      <c r="B635" t="s">
        <v>623</v>
      </c>
      <c r="C635" t="s">
        <v>925</v>
      </c>
      <c r="D635" t="s">
        <v>926</v>
      </c>
      <c r="E635">
        <v>0</v>
      </c>
    </row>
    <row r="636" spans="2:5" x14ac:dyDescent="0.25">
      <c r="B636" t="s">
        <v>623</v>
      </c>
      <c r="C636" t="s">
        <v>925</v>
      </c>
      <c r="D636" t="s">
        <v>926</v>
      </c>
      <c r="E636">
        <v>0</v>
      </c>
    </row>
    <row r="637" spans="2:5" x14ac:dyDescent="0.25">
      <c r="B637" t="s">
        <v>52</v>
      </c>
      <c r="C637" t="s">
        <v>1196</v>
      </c>
      <c r="D637" t="s">
        <v>1197</v>
      </c>
      <c r="E637">
        <v>20</v>
      </c>
    </row>
    <row r="638" spans="2:5" x14ac:dyDescent="0.25">
      <c r="B638" t="s">
        <v>52</v>
      </c>
      <c r="C638" t="s">
        <v>1198</v>
      </c>
      <c r="D638" t="s">
        <v>1199</v>
      </c>
      <c r="E638">
        <v>0</v>
      </c>
    </row>
    <row r="639" spans="2:5" x14ac:dyDescent="0.25">
      <c r="B639" t="s">
        <v>52</v>
      </c>
      <c r="C639" t="s">
        <v>1198</v>
      </c>
      <c r="D639" t="s">
        <v>1199</v>
      </c>
      <c r="E639">
        <v>0</v>
      </c>
    </row>
    <row r="640" spans="2:5" x14ac:dyDescent="0.25">
      <c r="B640" t="s">
        <v>52</v>
      </c>
      <c r="C640" t="s">
        <v>1200</v>
      </c>
      <c r="D640" t="s">
        <v>1201</v>
      </c>
      <c r="E640">
        <v>2050</v>
      </c>
    </row>
    <row r="641" spans="2:5" x14ac:dyDescent="0.25">
      <c r="B641" t="s">
        <v>52</v>
      </c>
      <c r="C641" t="s">
        <v>1200</v>
      </c>
      <c r="D641" t="s">
        <v>1201</v>
      </c>
      <c r="E641">
        <v>0</v>
      </c>
    </row>
    <row r="642" spans="2:5" x14ac:dyDescent="0.25">
      <c r="B642" t="s">
        <v>52</v>
      </c>
      <c r="C642" t="s">
        <v>873</v>
      </c>
      <c r="D642" t="s">
        <v>874</v>
      </c>
      <c r="E642">
        <v>0</v>
      </c>
    </row>
    <row r="643" spans="2:5" x14ac:dyDescent="0.25">
      <c r="B643" t="s">
        <v>518</v>
      </c>
      <c r="C643" t="s">
        <v>1202</v>
      </c>
      <c r="D643" t="s">
        <v>1203</v>
      </c>
      <c r="E643">
        <v>260</v>
      </c>
    </row>
    <row r="644" spans="2:5" x14ac:dyDescent="0.25">
      <c r="B644" t="s">
        <v>518</v>
      </c>
      <c r="C644" t="s">
        <v>1202</v>
      </c>
      <c r="D644" t="s">
        <v>1203</v>
      </c>
      <c r="E644">
        <v>0</v>
      </c>
    </row>
    <row r="645" spans="2:5" x14ac:dyDescent="0.25">
      <c r="B645" t="s">
        <v>521</v>
      </c>
      <c r="C645" t="s">
        <v>1204</v>
      </c>
      <c r="D645" t="s">
        <v>1205</v>
      </c>
      <c r="E645">
        <v>0</v>
      </c>
    </row>
    <row r="646" spans="2:5" x14ac:dyDescent="0.25">
      <c r="B646" t="s">
        <v>521</v>
      </c>
      <c r="C646" t="s">
        <v>1206</v>
      </c>
      <c r="D646" t="s">
        <v>1207</v>
      </c>
      <c r="E646">
        <v>95</v>
      </c>
    </row>
    <row r="647" spans="2:5" x14ac:dyDescent="0.25">
      <c r="B647" t="s">
        <v>521</v>
      </c>
      <c r="C647" t="s">
        <v>1206</v>
      </c>
      <c r="D647" t="s">
        <v>1207</v>
      </c>
      <c r="E647">
        <v>0</v>
      </c>
    </row>
    <row r="648" spans="2:5" x14ac:dyDescent="0.25">
      <c r="B648" t="s">
        <v>164</v>
      </c>
      <c r="C648" t="s">
        <v>400</v>
      </c>
      <c r="D648" t="s">
        <v>401</v>
      </c>
      <c r="E648">
        <v>0</v>
      </c>
    </row>
    <row r="649" spans="2:5" x14ac:dyDescent="0.25">
      <c r="B649" t="s">
        <v>164</v>
      </c>
      <c r="C649" t="s">
        <v>400</v>
      </c>
      <c r="D649" t="s">
        <v>401</v>
      </c>
      <c r="E649">
        <v>0</v>
      </c>
    </row>
    <row r="650" spans="2:5" x14ac:dyDescent="0.25">
      <c r="B650" t="s">
        <v>164</v>
      </c>
      <c r="C650" t="s">
        <v>402</v>
      </c>
      <c r="D650" t="s">
        <v>403</v>
      </c>
      <c r="E650">
        <v>79</v>
      </c>
    </row>
    <row r="651" spans="2:5" x14ac:dyDescent="0.25">
      <c r="B651" t="s">
        <v>164</v>
      </c>
      <c r="C651" t="s">
        <v>402</v>
      </c>
      <c r="D651" t="s">
        <v>403</v>
      </c>
      <c r="E651">
        <v>0</v>
      </c>
    </row>
    <row r="652" spans="2:5" x14ac:dyDescent="0.25">
      <c r="B652" t="s">
        <v>164</v>
      </c>
      <c r="C652" t="s">
        <v>443</v>
      </c>
      <c r="D652" t="s">
        <v>444</v>
      </c>
      <c r="E652">
        <v>4</v>
      </c>
    </row>
    <row r="653" spans="2:5" x14ac:dyDescent="0.25">
      <c r="B653" t="s">
        <v>161</v>
      </c>
      <c r="C653" t="s">
        <v>298</v>
      </c>
      <c r="D653" t="s">
        <v>299</v>
      </c>
      <c r="E653">
        <v>0</v>
      </c>
    </row>
    <row r="654" spans="2:5" x14ac:dyDescent="0.25">
      <c r="B654" t="s">
        <v>55</v>
      </c>
      <c r="C654" t="s">
        <v>852</v>
      </c>
      <c r="D654" t="s">
        <v>853</v>
      </c>
      <c r="E654">
        <v>0</v>
      </c>
    </row>
    <row r="655" spans="2:5" x14ac:dyDescent="0.25">
      <c r="B655" t="s">
        <v>763</v>
      </c>
      <c r="C655" t="s">
        <v>1208</v>
      </c>
      <c r="D655" t="s">
        <v>1209</v>
      </c>
      <c r="E655">
        <v>0</v>
      </c>
    </row>
    <row r="656" spans="2:5" x14ac:dyDescent="0.25">
      <c r="B656" t="s">
        <v>763</v>
      </c>
      <c r="C656" t="s">
        <v>1208</v>
      </c>
      <c r="D656" t="s">
        <v>1209</v>
      </c>
      <c r="E656">
        <v>0</v>
      </c>
    </row>
    <row r="657" spans="2:5" x14ac:dyDescent="0.25">
      <c r="B657" t="s">
        <v>763</v>
      </c>
      <c r="C657" t="s">
        <v>1210</v>
      </c>
      <c r="D657" t="s">
        <v>1211</v>
      </c>
      <c r="E657">
        <v>0</v>
      </c>
    </row>
    <row r="658" spans="2:5" x14ac:dyDescent="0.25">
      <c r="B658" t="s">
        <v>763</v>
      </c>
      <c r="C658" t="s">
        <v>1210</v>
      </c>
      <c r="D658" t="s">
        <v>1211</v>
      </c>
      <c r="E658">
        <v>100</v>
      </c>
    </row>
    <row r="659" spans="2:5" x14ac:dyDescent="0.25">
      <c r="B659" t="s">
        <v>763</v>
      </c>
      <c r="C659" t="s">
        <v>1210</v>
      </c>
      <c r="D659" t="s">
        <v>1211</v>
      </c>
      <c r="E659">
        <v>0</v>
      </c>
    </row>
    <row r="660" spans="2:5" x14ac:dyDescent="0.25">
      <c r="B660" t="s">
        <v>8</v>
      </c>
      <c r="C660" t="s">
        <v>883</v>
      </c>
      <c r="D660" t="s">
        <v>884</v>
      </c>
      <c r="E660">
        <v>0</v>
      </c>
    </row>
    <row r="661" spans="2:5" x14ac:dyDescent="0.25">
      <c r="B661" t="s">
        <v>11</v>
      </c>
      <c r="C661" t="s">
        <v>296</v>
      </c>
      <c r="D661" t="s">
        <v>297</v>
      </c>
      <c r="E661">
        <v>30</v>
      </c>
    </row>
    <row r="662" spans="2:5" x14ac:dyDescent="0.25">
      <c r="B662" t="s">
        <v>161</v>
      </c>
      <c r="C662" t="s">
        <v>298</v>
      </c>
      <c r="D662" t="s">
        <v>299</v>
      </c>
      <c r="E662">
        <v>0</v>
      </c>
    </row>
    <row r="663" spans="2:5" x14ac:dyDescent="0.25">
      <c r="B663" t="s">
        <v>8</v>
      </c>
      <c r="C663" t="s">
        <v>300</v>
      </c>
      <c r="D663" t="s">
        <v>301</v>
      </c>
      <c r="E663">
        <v>0</v>
      </c>
    </row>
    <row r="664" spans="2:5" x14ac:dyDescent="0.25">
      <c r="B664" t="s">
        <v>8</v>
      </c>
      <c r="C664" t="s">
        <v>302</v>
      </c>
      <c r="D664" t="s">
        <v>303</v>
      </c>
      <c r="E664">
        <v>0</v>
      </c>
    </row>
    <row r="665" spans="2:5" x14ac:dyDescent="0.25">
      <c r="B665" t="s">
        <v>8</v>
      </c>
      <c r="C665" t="s">
        <v>302</v>
      </c>
      <c r="D665" t="s">
        <v>303</v>
      </c>
      <c r="E665">
        <v>0</v>
      </c>
    </row>
    <row r="666" spans="2:5" x14ac:dyDescent="0.25">
      <c r="B666" t="s">
        <v>17</v>
      </c>
      <c r="C666" t="s">
        <v>304</v>
      </c>
      <c r="D666" t="s">
        <v>305</v>
      </c>
      <c r="E666">
        <v>5600</v>
      </c>
    </row>
    <row r="667" spans="2:5" x14ac:dyDescent="0.25">
      <c r="B667" t="s">
        <v>306</v>
      </c>
      <c r="C667" t="s">
        <v>307</v>
      </c>
      <c r="D667" t="s">
        <v>308</v>
      </c>
      <c r="E667">
        <v>14</v>
      </c>
    </row>
    <row r="668" spans="2:5" x14ac:dyDescent="0.25">
      <c r="B668" t="s">
        <v>306</v>
      </c>
      <c r="C668" t="s">
        <v>309</v>
      </c>
      <c r="D668" t="s">
        <v>310</v>
      </c>
      <c r="E668">
        <v>0</v>
      </c>
    </row>
    <row r="669" spans="2:5" x14ac:dyDescent="0.25">
      <c r="B669" t="s">
        <v>11</v>
      </c>
      <c r="C669" t="s">
        <v>311</v>
      </c>
      <c r="D669" t="s">
        <v>312</v>
      </c>
      <c r="E669">
        <v>150</v>
      </c>
    </row>
    <row r="670" spans="2:5" x14ac:dyDescent="0.25">
      <c r="B670" t="s">
        <v>313</v>
      </c>
      <c r="C670" t="s">
        <v>314</v>
      </c>
      <c r="D670" t="s">
        <v>315</v>
      </c>
      <c r="E670">
        <v>0</v>
      </c>
    </row>
    <row r="671" spans="2:5" x14ac:dyDescent="0.25">
      <c r="B671" t="s">
        <v>14</v>
      </c>
      <c r="C671" t="s">
        <v>316</v>
      </c>
      <c r="D671" t="s">
        <v>317</v>
      </c>
      <c r="E671">
        <v>0</v>
      </c>
    </row>
    <row r="672" spans="2:5" x14ac:dyDescent="0.25">
      <c r="B672" t="s">
        <v>14</v>
      </c>
      <c r="C672" t="s">
        <v>318</v>
      </c>
      <c r="D672" t="s">
        <v>319</v>
      </c>
      <c r="E672">
        <v>116</v>
      </c>
    </row>
    <row r="673" spans="2:5" x14ac:dyDescent="0.25">
      <c r="B673" t="s">
        <v>14</v>
      </c>
      <c r="C673" t="s">
        <v>320</v>
      </c>
      <c r="D673" t="s">
        <v>321</v>
      </c>
      <c r="E673">
        <v>380</v>
      </c>
    </row>
    <row r="674" spans="2:5" x14ac:dyDescent="0.25">
      <c r="B674" t="s">
        <v>14</v>
      </c>
      <c r="C674" t="s">
        <v>320</v>
      </c>
      <c r="D674" t="s">
        <v>321</v>
      </c>
      <c r="E674">
        <v>0</v>
      </c>
    </row>
    <row r="675" spans="2:5" x14ac:dyDescent="0.25">
      <c r="B675" t="s">
        <v>61</v>
      </c>
      <c r="C675" t="s">
        <v>1171</v>
      </c>
      <c r="D675" t="s">
        <v>1172</v>
      </c>
      <c r="E675">
        <v>0</v>
      </c>
    </row>
    <row r="676" spans="2:5" x14ac:dyDescent="0.25">
      <c r="B676" t="s">
        <v>164</v>
      </c>
      <c r="C676" t="s">
        <v>1565</v>
      </c>
      <c r="D676" t="s">
        <v>1566</v>
      </c>
      <c r="E676">
        <v>2105</v>
      </c>
    </row>
    <row r="677" spans="2:5" x14ac:dyDescent="0.25">
      <c r="B677" t="s">
        <v>156</v>
      </c>
      <c r="C677" t="s">
        <v>1567</v>
      </c>
      <c r="D677" t="s">
        <v>1568</v>
      </c>
      <c r="E677">
        <v>0</v>
      </c>
    </row>
    <row r="678" spans="2:5" x14ac:dyDescent="0.25">
      <c r="B678" t="s">
        <v>140</v>
      </c>
      <c r="C678" t="s">
        <v>392</v>
      </c>
      <c r="D678" t="s">
        <v>393</v>
      </c>
      <c r="E678">
        <v>0</v>
      </c>
    </row>
    <row r="679" spans="2:5" x14ac:dyDescent="0.25">
      <c r="B679" t="s">
        <v>140</v>
      </c>
      <c r="C679" t="s">
        <v>1220</v>
      </c>
      <c r="D679" t="s">
        <v>1221</v>
      </c>
      <c r="E679">
        <v>0</v>
      </c>
    </row>
    <row r="680" spans="2:5" x14ac:dyDescent="0.25">
      <c r="B680" t="s">
        <v>164</v>
      </c>
      <c r="C680" t="s">
        <v>1569</v>
      </c>
      <c r="D680" t="s">
        <v>1570</v>
      </c>
      <c r="E680">
        <v>0</v>
      </c>
    </row>
    <row r="681" spans="2:5" x14ac:dyDescent="0.25">
      <c r="B681" t="s">
        <v>1571</v>
      </c>
      <c r="C681" t="s">
        <v>1572</v>
      </c>
      <c r="D681" t="s">
        <v>1573</v>
      </c>
      <c r="E681">
        <v>0</v>
      </c>
    </row>
    <row r="682" spans="2:5" x14ac:dyDescent="0.25">
      <c r="B682" t="s">
        <v>1571</v>
      </c>
      <c r="C682" t="s">
        <v>1574</v>
      </c>
      <c r="D682" t="s">
        <v>1575</v>
      </c>
      <c r="E682">
        <v>0</v>
      </c>
    </row>
    <row r="683" spans="2:5" x14ac:dyDescent="0.25">
      <c r="B683" t="s">
        <v>266</v>
      </c>
      <c r="C683" t="s">
        <v>1576</v>
      </c>
      <c r="D683" t="s">
        <v>1577</v>
      </c>
      <c r="E683">
        <v>0</v>
      </c>
    </row>
    <row r="684" spans="2:5" x14ac:dyDescent="0.25">
      <c r="B684" t="s">
        <v>1578</v>
      </c>
      <c r="C684" t="s">
        <v>1579</v>
      </c>
      <c r="D684" t="s">
        <v>1580</v>
      </c>
      <c r="E684">
        <v>0</v>
      </c>
    </row>
    <row r="685" spans="2:5" x14ac:dyDescent="0.25">
      <c r="B685" t="s">
        <v>49</v>
      </c>
      <c r="C685" t="s">
        <v>322</v>
      </c>
      <c r="D685" t="s">
        <v>323</v>
      </c>
      <c r="E685">
        <v>60</v>
      </c>
    </row>
    <row r="686" spans="2:5" x14ac:dyDescent="0.25">
      <c r="B686" t="s">
        <v>261</v>
      </c>
      <c r="C686" t="s">
        <v>1039</v>
      </c>
      <c r="D686" t="s">
        <v>1040</v>
      </c>
      <c r="E686">
        <v>0</v>
      </c>
    </row>
    <row r="687" spans="2:5" x14ac:dyDescent="0.25">
      <c r="B687" t="s">
        <v>14</v>
      </c>
      <c r="C687" t="s">
        <v>1041</v>
      </c>
      <c r="D687" t="s">
        <v>1042</v>
      </c>
      <c r="E687">
        <v>0</v>
      </c>
    </row>
    <row r="688" spans="2:5" x14ac:dyDescent="0.25">
      <c r="B688" t="s">
        <v>551</v>
      </c>
      <c r="C688" t="s">
        <v>552</v>
      </c>
      <c r="D688" t="s">
        <v>553</v>
      </c>
      <c r="E688">
        <v>0</v>
      </c>
    </row>
    <row r="689" spans="2:5" x14ac:dyDescent="0.25">
      <c r="B689" t="s">
        <v>40</v>
      </c>
      <c r="C689" t="s">
        <v>474</v>
      </c>
      <c r="D689" t="s">
        <v>475</v>
      </c>
      <c r="E689">
        <v>0</v>
      </c>
    </row>
    <row r="690" spans="2:5" x14ac:dyDescent="0.25">
      <c r="B690" t="s">
        <v>8</v>
      </c>
      <c r="C690" t="s">
        <v>1043</v>
      </c>
      <c r="D690" t="s">
        <v>1044</v>
      </c>
      <c r="E690">
        <v>0</v>
      </c>
    </row>
    <row r="691" spans="2:5" x14ac:dyDescent="0.25">
      <c r="B691" t="s">
        <v>120</v>
      </c>
      <c r="C691" t="s">
        <v>1014</v>
      </c>
      <c r="D691" t="s">
        <v>1015</v>
      </c>
      <c r="E691">
        <v>0</v>
      </c>
    </row>
    <row r="692" spans="2:5" x14ac:dyDescent="0.25">
      <c r="B692" t="s">
        <v>148</v>
      </c>
      <c r="C692" t="s">
        <v>1045</v>
      </c>
      <c r="D692" t="s">
        <v>1046</v>
      </c>
      <c r="E692">
        <v>0</v>
      </c>
    </row>
    <row r="693" spans="2:5" x14ac:dyDescent="0.25">
      <c r="B693" t="s">
        <v>195</v>
      </c>
      <c r="C693" t="s">
        <v>1047</v>
      </c>
      <c r="D693" t="s">
        <v>1048</v>
      </c>
      <c r="E693">
        <v>0</v>
      </c>
    </row>
    <row r="694" spans="2:5" x14ac:dyDescent="0.25">
      <c r="B694" t="s">
        <v>1005</v>
      </c>
      <c r="C694" t="s">
        <v>1006</v>
      </c>
      <c r="D694" t="s">
        <v>1007</v>
      </c>
      <c r="E694">
        <v>0</v>
      </c>
    </row>
    <row r="695" spans="2:5" x14ac:dyDescent="0.25">
      <c r="B695" t="s">
        <v>585</v>
      </c>
      <c r="C695" t="s">
        <v>1049</v>
      </c>
      <c r="D695" t="s">
        <v>1050</v>
      </c>
      <c r="E695">
        <v>0</v>
      </c>
    </row>
    <row r="696" spans="2:5" x14ac:dyDescent="0.25">
      <c r="B696" t="s">
        <v>145</v>
      </c>
      <c r="C696" t="s">
        <v>974</v>
      </c>
      <c r="D696" t="s">
        <v>975</v>
      </c>
      <c r="E696">
        <v>52</v>
      </c>
    </row>
    <row r="697" spans="2:5" x14ac:dyDescent="0.25">
      <c r="B697" t="s">
        <v>209</v>
      </c>
      <c r="C697" t="s">
        <v>965</v>
      </c>
      <c r="D697" t="s">
        <v>966</v>
      </c>
      <c r="E697">
        <v>0</v>
      </c>
    </row>
    <row r="698" spans="2:5" x14ac:dyDescent="0.25">
      <c r="B698" t="s">
        <v>14</v>
      </c>
      <c r="C698" t="s">
        <v>486</v>
      </c>
      <c r="D698" t="s">
        <v>487</v>
      </c>
      <c r="E698">
        <v>0</v>
      </c>
    </row>
    <row r="699" spans="2:5" x14ac:dyDescent="0.25">
      <c r="B699" t="s">
        <v>49</v>
      </c>
      <c r="C699" t="s">
        <v>488</v>
      </c>
      <c r="D699" t="s">
        <v>489</v>
      </c>
      <c r="E699">
        <v>0</v>
      </c>
    </row>
    <row r="700" spans="2:5" x14ac:dyDescent="0.25">
      <c r="B700" t="s">
        <v>145</v>
      </c>
      <c r="C700" t="s">
        <v>490</v>
      </c>
      <c r="D700" t="s">
        <v>491</v>
      </c>
      <c r="E700">
        <v>0</v>
      </c>
    </row>
    <row r="701" spans="2:5" x14ac:dyDescent="0.25">
      <c r="B701" t="s">
        <v>55</v>
      </c>
      <c r="C701" t="s">
        <v>492</v>
      </c>
      <c r="D701" t="s">
        <v>493</v>
      </c>
      <c r="E701">
        <v>68</v>
      </c>
    </row>
    <row r="702" spans="2:5" x14ac:dyDescent="0.25">
      <c r="B702" t="s">
        <v>55</v>
      </c>
      <c r="C702" t="s">
        <v>492</v>
      </c>
      <c r="D702" t="s">
        <v>493</v>
      </c>
      <c r="E702">
        <v>0</v>
      </c>
    </row>
    <row r="703" spans="2:5" x14ac:dyDescent="0.25">
      <c r="B703" t="s">
        <v>61</v>
      </c>
      <c r="C703" t="s">
        <v>494</v>
      </c>
      <c r="D703" t="s">
        <v>495</v>
      </c>
      <c r="E703">
        <v>0</v>
      </c>
    </row>
    <row r="704" spans="2:5" x14ac:dyDescent="0.25">
      <c r="B704" t="s">
        <v>496</v>
      </c>
      <c r="C704" t="s">
        <v>497</v>
      </c>
      <c r="D704" t="s">
        <v>498</v>
      </c>
      <c r="E704">
        <v>0</v>
      </c>
    </row>
    <row r="705" spans="2:5" x14ac:dyDescent="0.25">
      <c r="B705" t="s">
        <v>64</v>
      </c>
      <c r="C705" t="s">
        <v>499</v>
      </c>
      <c r="D705" t="s">
        <v>500</v>
      </c>
      <c r="E705">
        <v>0</v>
      </c>
    </row>
    <row r="706" spans="2:5" x14ac:dyDescent="0.25">
      <c r="B706" t="s">
        <v>195</v>
      </c>
      <c r="C706" t="s">
        <v>501</v>
      </c>
      <c r="D706" t="s">
        <v>502</v>
      </c>
      <c r="E706">
        <v>0</v>
      </c>
    </row>
    <row r="707" spans="2:5" x14ac:dyDescent="0.25">
      <c r="B707" t="s">
        <v>195</v>
      </c>
      <c r="C707" t="s">
        <v>503</v>
      </c>
      <c r="D707" t="s">
        <v>504</v>
      </c>
      <c r="E707">
        <v>0</v>
      </c>
    </row>
    <row r="708" spans="2:5" x14ac:dyDescent="0.25">
      <c r="B708" t="s">
        <v>505</v>
      </c>
      <c r="C708" t="s">
        <v>506</v>
      </c>
      <c r="D708" t="s">
        <v>507</v>
      </c>
      <c r="E708">
        <v>0</v>
      </c>
    </row>
    <row r="709" spans="2:5" x14ac:dyDescent="0.25">
      <c r="B709" t="s">
        <v>73</v>
      </c>
      <c r="C709" t="s">
        <v>508</v>
      </c>
      <c r="D709" t="s">
        <v>509</v>
      </c>
      <c r="E709">
        <v>0</v>
      </c>
    </row>
    <row r="710" spans="2:5" x14ac:dyDescent="0.25">
      <c r="B710" t="s">
        <v>73</v>
      </c>
      <c r="C710" t="s">
        <v>510</v>
      </c>
      <c r="D710" t="s">
        <v>511</v>
      </c>
      <c r="E710">
        <v>0</v>
      </c>
    </row>
    <row r="711" spans="2:5" x14ac:dyDescent="0.25">
      <c r="B711" t="s">
        <v>11</v>
      </c>
      <c r="C711" t="s">
        <v>512</v>
      </c>
      <c r="D711" t="s">
        <v>513</v>
      </c>
      <c r="E711">
        <v>0</v>
      </c>
    </row>
    <row r="712" spans="2:5" x14ac:dyDescent="0.25">
      <c r="B712" t="s">
        <v>11</v>
      </c>
      <c r="C712" t="s">
        <v>514</v>
      </c>
      <c r="D712" t="s">
        <v>515</v>
      </c>
      <c r="E712">
        <v>0</v>
      </c>
    </row>
    <row r="713" spans="2:5" x14ac:dyDescent="0.25">
      <c r="B713" t="s">
        <v>86</v>
      </c>
      <c r="C713" t="s">
        <v>516</v>
      </c>
      <c r="D713" t="s">
        <v>517</v>
      </c>
      <c r="E713">
        <v>0</v>
      </c>
    </row>
    <row r="714" spans="2:5" x14ac:dyDescent="0.25">
      <c r="B714" t="s">
        <v>518</v>
      </c>
      <c r="C714" t="s">
        <v>519</v>
      </c>
      <c r="D714" t="s">
        <v>520</v>
      </c>
      <c r="E714">
        <v>297</v>
      </c>
    </row>
    <row r="715" spans="2:5" x14ac:dyDescent="0.25">
      <c r="B715" t="s">
        <v>521</v>
      </c>
      <c r="C715" t="s">
        <v>522</v>
      </c>
      <c r="D715" t="s">
        <v>523</v>
      </c>
      <c r="E715">
        <v>0</v>
      </c>
    </row>
    <row r="716" spans="2:5" x14ac:dyDescent="0.25">
      <c r="B716" t="s">
        <v>203</v>
      </c>
      <c r="C716" t="s">
        <v>524</v>
      </c>
      <c r="D716" t="s">
        <v>525</v>
      </c>
      <c r="E716">
        <v>0</v>
      </c>
    </row>
    <row r="717" spans="2:5" x14ac:dyDescent="0.25">
      <c r="B717" t="s">
        <v>161</v>
      </c>
      <c r="C717" t="s">
        <v>526</v>
      </c>
      <c r="D717" t="s">
        <v>527</v>
      </c>
      <c r="E717">
        <v>0</v>
      </c>
    </row>
    <row r="718" spans="2:5" x14ac:dyDescent="0.25">
      <c r="B718" t="s">
        <v>206</v>
      </c>
      <c r="C718" t="s">
        <v>528</v>
      </c>
      <c r="D718" t="s">
        <v>529</v>
      </c>
      <c r="E718">
        <v>0</v>
      </c>
    </row>
    <row r="719" spans="2:5" x14ac:dyDescent="0.25">
      <c r="B719" t="s">
        <v>91</v>
      </c>
      <c r="C719" t="s">
        <v>530</v>
      </c>
      <c r="D719" t="s">
        <v>531</v>
      </c>
      <c r="E719">
        <v>0</v>
      </c>
    </row>
    <row r="720" spans="2:5" x14ac:dyDescent="0.25">
      <c r="B720" t="s">
        <v>20</v>
      </c>
      <c r="C720" t="s">
        <v>532</v>
      </c>
      <c r="D720" t="s">
        <v>533</v>
      </c>
      <c r="E720">
        <v>0</v>
      </c>
    </row>
    <row r="721" spans="2:5" x14ac:dyDescent="0.25">
      <c r="B721" t="s">
        <v>40</v>
      </c>
      <c r="C721" t="s">
        <v>534</v>
      </c>
      <c r="D721" t="s">
        <v>535</v>
      </c>
      <c r="E721">
        <v>0</v>
      </c>
    </row>
    <row r="722" spans="2:5" x14ac:dyDescent="0.25">
      <c r="B722" t="s">
        <v>14</v>
      </c>
      <c r="C722" t="s">
        <v>536</v>
      </c>
      <c r="D722" t="s">
        <v>537</v>
      </c>
      <c r="E722">
        <v>0</v>
      </c>
    </row>
    <row r="723" spans="2:5" x14ac:dyDescent="0.25">
      <c r="B723" t="s">
        <v>164</v>
      </c>
      <c r="C723" t="s">
        <v>538</v>
      </c>
      <c r="D723" t="s">
        <v>539</v>
      </c>
      <c r="E723">
        <v>0</v>
      </c>
    </row>
    <row r="724" spans="2:5" x14ac:dyDescent="0.25">
      <c r="B724" t="s">
        <v>120</v>
      </c>
      <c r="C724" t="s">
        <v>540</v>
      </c>
      <c r="D724" t="s">
        <v>541</v>
      </c>
      <c r="E724">
        <v>31760</v>
      </c>
    </row>
    <row r="725" spans="2:5" x14ac:dyDescent="0.25">
      <c r="B725" t="s">
        <v>17</v>
      </c>
      <c r="C725" t="s">
        <v>455</v>
      </c>
      <c r="D725" t="s">
        <v>456</v>
      </c>
      <c r="E725">
        <v>21</v>
      </c>
    </row>
    <row r="726" spans="2:5" x14ac:dyDescent="0.25">
      <c r="B726" t="s">
        <v>352</v>
      </c>
      <c r="C726" t="s">
        <v>542</v>
      </c>
      <c r="D726" t="s">
        <v>543</v>
      </c>
      <c r="E726">
        <v>0</v>
      </c>
    </row>
    <row r="727" spans="2:5" x14ac:dyDescent="0.25">
      <c r="B727" t="s">
        <v>14</v>
      </c>
      <c r="C727" t="s">
        <v>486</v>
      </c>
      <c r="D727" t="s">
        <v>487</v>
      </c>
      <c r="E727">
        <v>0</v>
      </c>
    </row>
    <row r="728" spans="2:5" x14ac:dyDescent="0.25">
      <c r="B728" t="s">
        <v>148</v>
      </c>
      <c r="C728" t="s">
        <v>544</v>
      </c>
      <c r="D728" t="s">
        <v>545</v>
      </c>
      <c r="E728">
        <v>11800</v>
      </c>
    </row>
    <row r="729" spans="2:5" x14ac:dyDescent="0.25">
      <c r="B729" t="s">
        <v>546</v>
      </c>
      <c r="C729" t="s">
        <v>547</v>
      </c>
      <c r="D729" t="s">
        <v>548</v>
      </c>
      <c r="E729">
        <v>480</v>
      </c>
    </row>
    <row r="730" spans="2:5" x14ac:dyDescent="0.25">
      <c r="B730" t="s">
        <v>114</v>
      </c>
      <c r="C730" t="s">
        <v>549</v>
      </c>
      <c r="D730" t="s">
        <v>550</v>
      </c>
      <c r="E730">
        <v>7080</v>
      </c>
    </row>
    <row r="731" spans="2:5" x14ac:dyDescent="0.25">
      <c r="B731" t="s">
        <v>551</v>
      </c>
      <c r="C731" t="s">
        <v>552</v>
      </c>
      <c r="D731" t="s">
        <v>553</v>
      </c>
      <c r="E731">
        <v>0</v>
      </c>
    </row>
    <row r="732" spans="2:5" x14ac:dyDescent="0.25">
      <c r="B732" t="s">
        <v>554</v>
      </c>
      <c r="C732" t="s">
        <v>555</v>
      </c>
      <c r="D732" t="s">
        <v>556</v>
      </c>
      <c r="E732">
        <v>0</v>
      </c>
    </row>
    <row r="733" spans="2:5" x14ac:dyDescent="0.25">
      <c r="B733" t="s">
        <v>134</v>
      </c>
      <c r="C733" t="s">
        <v>557</v>
      </c>
      <c r="D733" t="s">
        <v>558</v>
      </c>
      <c r="E733">
        <v>70</v>
      </c>
    </row>
    <row r="734" spans="2:5" x14ac:dyDescent="0.25">
      <c r="B734" t="s">
        <v>559</v>
      </c>
      <c r="C734" t="s">
        <v>560</v>
      </c>
      <c r="D734" t="s">
        <v>561</v>
      </c>
      <c r="E734">
        <v>0</v>
      </c>
    </row>
    <row r="735" spans="2:5" x14ac:dyDescent="0.25">
      <c r="B735" t="s">
        <v>114</v>
      </c>
      <c r="C735" t="s">
        <v>549</v>
      </c>
      <c r="D735" t="s">
        <v>550</v>
      </c>
      <c r="E735">
        <v>0</v>
      </c>
    </row>
    <row r="736" spans="2:5" x14ac:dyDescent="0.25">
      <c r="B736" t="s">
        <v>61</v>
      </c>
      <c r="C736" t="s">
        <v>562</v>
      </c>
      <c r="D736" t="s">
        <v>563</v>
      </c>
      <c r="E736">
        <v>0</v>
      </c>
    </row>
    <row r="737" spans="2:5" x14ac:dyDescent="0.25">
      <c r="B737" t="s">
        <v>352</v>
      </c>
      <c r="C737" t="s">
        <v>564</v>
      </c>
      <c r="D737" t="s">
        <v>565</v>
      </c>
      <c r="E737">
        <v>0</v>
      </c>
    </row>
    <row r="738" spans="2:5" x14ac:dyDescent="0.25">
      <c r="B738" t="s">
        <v>64</v>
      </c>
      <c r="C738" t="s">
        <v>566</v>
      </c>
      <c r="D738" t="s">
        <v>567</v>
      </c>
      <c r="E738">
        <v>0</v>
      </c>
    </row>
    <row r="739" spans="2:5" x14ac:dyDescent="0.25">
      <c r="B739" t="s">
        <v>151</v>
      </c>
      <c r="C739" t="s">
        <v>568</v>
      </c>
      <c r="D739" t="s">
        <v>569</v>
      </c>
      <c r="E739">
        <v>0</v>
      </c>
    </row>
    <row r="740" spans="2:5" x14ac:dyDescent="0.25">
      <c r="B740" t="s">
        <v>140</v>
      </c>
      <c r="C740" t="s">
        <v>570</v>
      </c>
      <c r="D740" t="s">
        <v>571</v>
      </c>
      <c r="E740">
        <v>0</v>
      </c>
    </row>
    <row r="741" spans="2:5" x14ac:dyDescent="0.25">
      <c r="B741" t="s">
        <v>80</v>
      </c>
      <c r="C741" t="s">
        <v>572</v>
      </c>
      <c r="D741" t="s">
        <v>573</v>
      </c>
      <c r="E741">
        <v>390</v>
      </c>
    </row>
    <row r="742" spans="2:5" x14ac:dyDescent="0.25">
      <c r="B742" t="s">
        <v>272</v>
      </c>
      <c r="C742" t="s">
        <v>574</v>
      </c>
      <c r="D742" t="s">
        <v>575</v>
      </c>
      <c r="E742">
        <v>0</v>
      </c>
    </row>
    <row r="743" spans="2:5" x14ac:dyDescent="0.25">
      <c r="B743" t="s">
        <v>80</v>
      </c>
      <c r="C743" t="s">
        <v>572</v>
      </c>
      <c r="D743" t="s">
        <v>573</v>
      </c>
      <c r="E743">
        <v>0</v>
      </c>
    </row>
    <row r="744" spans="2:5" x14ac:dyDescent="0.25">
      <c r="B744" t="s">
        <v>156</v>
      </c>
      <c r="C744" t="s">
        <v>576</v>
      </c>
      <c r="D744" t="s">
        <v>577</v>
      </c>
      <c r="E744">
        <v>5375</v>
      </c>
    </row>
    <row r="745" spans="2:5" x14ac:dyDescent="0.25">
      <c r="B745" t="s">
        <v>272</v>
      </c>
      <c r="C745" t="s">
        <v>1342</v>
      </c>
      <c r="D745" t="s">
        <v>1343</v>
      </c>
      <c r="E745">
        <v>235</v>
      </c>
    </row>
    <row r="746" spans="2:5" x14ac:dyDescent="0.25">
      <c r="B746" t="s">
        <v>272</v>
      </c>
      <c r="C746" t="s">
        <v>574</v>
      </c>
      <c r="D746" t="s">
        <v>575</v>
      </c>
      <c r="E746">
        <v>0</v>
      </c>
    </row>
    <row r="747" spans="2:5" x14ac:dyDescent="0.25">
      <c r="B747" t="s">
        <v>554</v>
      </c>
      <c r="C747" t="s">
        <v>555</v>
      </c>
      <c r="D747" t="s">
        <v>556</v>
      </c>
      <c r="E747">
        <v>0</v>
      </c>
    </row>
    <row r="748" spans="2:5" x14ac:dyDescent="0.25">
      <c r="B748" t="s">
        <v>148</v>
      </c>
      <c r="C748" t="s">
        <v>544</v>
      </c>
      <c r="D748" t="s">
        <v>545</v>
      </c>
      <c r="E748">
        <v>0</v>
      </c>
    </row>
    <row r="749" spans="2:5" x14ac:dyDescent="0.25">
      <c r="B749" t="s">
        <v>164</v>
      </c>
      <c r="C749" t="s">
        <v>538</v>
      </c>
      <c r="D749" t="s">
        <v>539</v>
      </c>
      <c r="E749">
        <v>0</v>
      </c>
    </row>
    <row r="750" spans="2:5" x14ac:dyDescent="0.25">
      <c r="B750" t="s">
        <v>52</v>
      </c>
      <c r="C750" t="s">
        <v>578</v>
      </c>
      <c r="D750" t="s">
        <v>579</v>
      </c>
      <c r="E750">
        <v>0</v>
      </c>
    </row>
    <row r="751" spans="2:5" x14ac:dyDescent="0.25">
      <c r="B751" t="s">
        <v>31</v>
      </c>
      <c r="C751" t="s">
        <v>580</v>
      </c>
      <c r="D751" t="s">
        <v>581</v>
      </c>
      <c r="E751">
        <v>16</v>
      </c>
    </row>
    <row r="752" spans="2:5" x14ac:dyDescent="0.25">
      <c r="B752" t="s">
        <v>11</v>
      </c>
      <c r="C752" t="s">
        <v>582</v>
      </c>
      <c r="D752" t="s">
        <v>583</v>
      </c>
      <c r="E752">
        <v>0</v>
      </c>
    </row>
    <row r="753" spans="2:5" x14ac:dyDescent="0.25">
      <c r="B753" t="s">
        <v>518</v>
      </c>
      <c r="C753" t="s">
        <v>584</v>
      </c>
      <c r="D753" t="s">
        <v>430</v>
      </c>
      <c r="E753">
        <v>0</v>
      </c>
    </row>
    <row r="754" spans="2:5" x14ac:dyDescent="0.25">
      <c r="B754" t="s">
        <v>585</v>
      </c>
      <c r="C754" t="s">
        <v>586</v>
      </c>
      <c r="D754" t="s">
        <v>587</v>
      </c>
      <c r="E754">
        <v>7880</v>
      </c>
    </row>
    <row r="755" spans="2:5" x14ac:dyDescent="0.25">
      <c r="B755" t="s">
        <v>20</v>
      </c>
      <c r="C755" t="s">
        <v>588</v>
      </c>
      <c r="D755" t="s">
        <v>589</v>
      </c>
      <c r="E755">
        <v>0</v>
      </c>
    </row>
    <row r="756" spans="2:5" x14ac:dyDescent="0.25">
      <c r="B756" t="s">
        <v>114</v>
      </c>
      <c r="C756" t="s">
        <v>549</v>
      </c>
      <c r="D756" t="s">
        <v>550</v>
      </c>
      <c r="E756">
        <v>0</v>
      </c>
    </row>
    <row r="757" spans="2:5" x14ac:dyDescent="0.25">
      <c r="B757" t="s">
        <v>164</v>
      </c>
      <c r="C757" t="s">
        <v>590</v>
      </c>
      <c r="D757" t="s">
        <v>591</v>
      </c>
      <c r="E757">
        <v>0</v>
      </c>
    </row>
    <row r="758" spans="2:5" x14ac:dyDescent="0.25">
      <c r="B758" t="s">
        <v>164</v>
      </c>
      <c r="C758" t="s">
        <v>590</v>
      </c>
      <c r="D758" t="s">
        <v>591</v>
      </c>
      <c r="E758">
        <v>198.01</v>
      </c>
    </row>
    <row r="759" spans="2:5" x14ac:dyDescent="0.25">
      <c r="B759" t="s">
        <v>52</v>
      </c>
      <c r="C759" t="s">
        <v>592</v>
      </c>
      <c r="D759" t="s">
        <v>593</v>
      </c>
      <c r="E759">
        <v>0</v>
      </c>
    </row>
    <row r="760" spans="2:5" x14ac:dyDescent="0.25">
      <c r="B760" t="s">
        <v>585</v>
      </c>
      <c r="C760" t="s">
        <v>594</v>
      </c>
      <c r="D760" t="s">
        <v>595</v>
      </c>
      <c r="E760">
        <v>3</v>
      </c>
    </row>
    <row r="761" spans="2:5" x14ac:dyDescent="0.25">
      <c r="B761" t="s">
        <v>156</v>
      </c>
      <c r="C761" t="s">
        <v>576</v>
      </c>
      <c r="D761" t="s">
        <v>577</v>
      </c>
      <c r="E761">
        <v>0</v>
      </c>
    </row>
    <row r="762" spans="2:5" x14ac:dyDescent="0.25">
      <c r="B762" t="s">
        <v>156</v>
      </c>
      <c r="C762" t="s">
        <v>576</v>
      </c>
      <c r="D762" t="s">
        <v>577</v>
      </c>
      <c r="E762">
        <v>0</v>
      </c>
    </row>
    <row r="763" spans="2:5" x14ac:dyDescent="0.25">
      <c r="B763" t="s">
        <v>237</v>
      </c>
      <c r="C763" t="s">
        <v>596</v>
      </c>
      <c r="D763" t="s">
        <v>597</v>
      </c>
      <c r="E763">
        <v>0</v>
      </c>
    </row>
    <row r="764" spans="2:5" x14ac:dyDescent="0.25">
      <c r="B764" t="s">
        <v>598</v>
      </c>
      <c r="C764" t="s">
        <v>599</v>
      </c>
      <c r="D764" t="s">
        <v>600</v>
      </c>
      <c r="E764">
        <v>6300</v>
      </c>
    </row>
    <row r="765" spans="2:5" x14ac:dyDescent="0.25">
      <c r="B765" t="s">
        <v>8</v>
      </c>
      <c r="C765" t="s">
        <v>601</v>
      </c>
      <c r="D765" t="s">
        <v>602</v>
      </c>
      <c r="E765">
        <v>0</v>
      </c>
    </row>
    <row r="766" spans="2:5" x14ac:dyDescent="0.25">
      <c r="B766" t="s">
        <v>20</v>
      </c>
      <c r="C766" t="s">
        <v>603</v>
      </c>
      <c r="D766" t="s">
        <v>604</v>
      </c>
      <c r="E766">
        <v>0</v>
      </c>
    </row>
    <row r="767" spans="2:5" x14ac:dyDescent="0.25">
      <c r="B767" t="s">
        <v>120</v>
      </c>
      <c r="C767" t="s">
        <v>951</v>
      </c>
      <c r="D767" t="s">
        <v>952</v>
      </c>
      <c r="E767">
        <v>0</v>
      </c>
    </row>
    <row r="768" spans="2:5" x14ac:dyDescent="0.25">
      <c r="B768" t="s">
        <v>8</v>
      </c>
      <c r="C768" t="s">
        <v>953</v>
      </c>
      <c r="D768" t="s">
        <v>954</v>
      </c>
      <c r="E768">
        <v>100</v>
      </c>
    </row>
    <row r="769" spans="2:5" x14ac:dyDescent="0.25">
      <c r="B769" t="s">
        <v>20</v>
      </c>
      <c r="C769" t="s">
        <v>459</v>
      </c>
      <c r="D769" t="s">
        <v>460</v>
      </c>
      <c r="E769">
        <v>0</v>
      </c>
    </row>
    <row r="770" spans="2:5" x14ac:dyDescent="0.25">
      <c r="B770" t="s">
        <v>120</v>
      </c>
      <c r="C770" t="s">
        <v>540</v>
      </c>
      <c r="D770" t="s">
        <v>541</v>
      </c>
      <c r="E770">
        <v>20</v>
      </c>
    </row>
    <row r="771" spans="2:5" x14ac:dyDescent="0.25">
      <c r="B771" t="s">
        <v>14</v>
      </c>
      <c r="C771" t="s">
        <v>630</v>
      </c>
      <c r="D771" t="s">
        <v>631</v>
      </c>
      <c r="E771">
        <v>0</v>
      </c>
    </row>
    <row r="772" spans="2:5" x14ac:dyDescent="0.25">
      <c r="B772" t="s">
        <v>712</v>
      </c>
      <c r="C772" t="s">
        <v>713</v>
      </c>
      <c r="D772" t="s">
        <v>714</v>
      </c>
      <c r="E772">
        <v>0</v>
      </c>
    </row>
    <row r="773" spans="2:5" x14ac:dyDescent="0.25">
      <c r="B773" t="s">
        <v>237</v>
      </c>
      <c r="C773" t="s">
        <v>1125</v>
      </c>
      <c r="D773" t="s">
        <v>1126</v>
      </c>
      <c r="E773">
        <v>0</v>
      </c>
    </row>
    <row r="774" spans="2:5" x14ac:dyDescent="0.25">
      <c r="B774" t="s">
        <v>680</v>
      </c>
      <c r="C774" t="s">
        <v>681</v>
      </c>
      <c r="D774" t="s">
        <v>682</v>
      </c>
      <c r="E774">
        <v>0</v>
      </c>
    </row>
    <row r="775" spans="2:5" x14ac:dyDescent="0.25">
      <c r="B775" t="s">
        <v>161</v>
      </c>
      <c r="C775" t="s">
        <v>1121</v>
      </c>
      <c r="D775" t="s">
        <v>1122</v>
      </c>
      <c r="E775">
        <v>0</v>
      </c>
    </row>
    <row r="776" spans="2:5" x14ac:dyDescent="0.25">
      <c r="B776" t="s">
        <v>715</v>
      </c>
      <c r="C776" t="s">
        <v>716</v>
      </c>
      <c r="D776" t="s">
        <v>717</v>
      </c>
      <c r="E776">
        <v>510</v>
      </c>
    </row>
    <row r="777" spans="2:5" x14ac:dyDescent="0.25">
      <c r="B777" t="s">
        <v>272</v>
      </c>
      <c r="C777" t="s">
        <v>1581</v>
      </c>
      <c r="D777" t="s">
        <v>1582</v>
      </c>
      <c r="E777">
        <v>0</v>
      </c>
    </row>
    <row r="778" spans="2:5" x14ac:dyDescent="0.25">
      <c r="B778" t="s">
        <v>1571</v>
      </c>
      <c r="C778" t="s">
        <v>1583</v>
      </c>
      <c r="D778" t="s">
        <v>1584</v>
      </c>
      <c r="E778">
        <v>0</v>
      </c>
    </row>
    <row r="779" spans="2:5" x14ac:dyDescent="0.25">
      <c r="B779" t="s">
        <v>266</v>
      </c>
      <c r="C779" t="s">
        <v>1585</v>
      </c>
      <c r="D779" t="s">
        <v>1586</v>
      </c>
      <c r="E779">
        <v>0</v>
      </c>
    </row>
    <row r="780" spans="2:5" x14ac:dyDescent="0.25">
      <c r="B780" t="s">
        <v>14</v>
      </c>
      <c r="C780" t="s">
        <v>630</v>
      </c>
      <c r="D780" t="s">
        <v>631</v>
      </c>
      <c r="E780">
        <v>0</v>
      </c>
    </row>
    <row r="781" spans="2:5" x14ac:dyDescent="0.25">
      <c r="B781" t="s">
        <v>131</v>
      </c>
      <c r="C781" t="s">
        <v>632</v>
      </c>
      <c r="D781" t="s">
        <v>633</v>
      </c>
      <c r="E781">
        <v>0</v>
      </c>
    </row>
    <row r="782" spans="2:5" x14ac:dyDescent="0.25">
      <c r="B782" t="s">
        <v>131</v>
      </c>
      <c r="C782" t="s">
        <v>634</v>
      </c>
      <c r="D782" t="s">
        <v>635</v>
      </c>
      <c r="E782">
        <v>0</v>
      </c>
    </row>
    <row r="783" spans="2:5" x14ac:dyDescent="0.25">
      <c r="B783" t="s">
        <v>217</v>
      </c>
      <c r="C783" t="s">
        <v>636</v>
      </c>
      <c r="D783" t="s">
        <v>637</v>
      </c>
      <c r="E783">
        <v>0</v>
      </c>
    </row>
    <row r="784" spans="2:5" x14ac:dyDescent="0.25">
      <c r="B784" t="s">
        <v>222</v>
      </c>
      <c r="C784" t="s">
        <v>638</v>
      </c>
      <c r="D784" t="s">
        <v>639</v>
      </c>
      <c r="E784">
        <v>0</v>
      </c>
    </row>
    <row r="785" spans="2:5" x14ac:dyDescent="0.25">
      <c r="B785" t="s">
        <v>58</v>
      </c>
      <c r="C785" t="s">
        <v>640</v>
      </c>
      <c r="D785" t="s">
        <v>641</v>
      </c>
      <c r="E785">
        <v>0</v>
      </c>
    </row>
    <row r="786" spans="2:5" x14ac:dyDescent="0.25">
      <c r="B786" t="s">
        <v>58</v>
      </c>
      <c r="C786" t="s">
        <v>642</v>
      </c>
      <c r="D786" t="s">
        <v>643</v>
      </c>
      <c r="E786">
        <v>0</v>
      </c>
    </row>
    <row r="787" spans="2:5" x14ac:dyDescent="0.25">
      <c r="B787" t="s">
        <v>496</v>
      </c>
      <c r="C787" t="s">
        <v>644</v>
      </c>
      <c r="D787" t="s">
        <v>645</v>
      </c>
      <c r="E787">
        <v>0</v>
      </c>
    </row>
    <row r="788" spans="2:5" x14ac:dyDescent="0.25">
      <c r="B788" t="s">
        <v>61</v>
      </c>
      <c r="C788" t="s">
        <v>646</v>
      </c>
      <c r="D788" t="s">
        <v>647</v>
      </c>
      <c r="E788">
        <v>20</v>
      </c>
    </row>
    <row r="789" spans="2:5" x14ac:dyDescent="0.25">
      <c r="B789" t="s">
        <v>64</v>
      </c>
      <c r="C789" t="s">
        <v>648</v>
      </c>
      <c r="D789" t="s">
        <v>649</v>
      </c>
      <c r="E789">
        <v>0</v>
      </c>
    </row>
    <row r="790" spans="2:5" x14ac:dyDescent="0.25">
      <c r="B790" t="s">
        <v>195</v>
      </c>
      <c r="C790" t="s">
        <v>650</v>
      </c>
      <c r="D790" t="s">
        <v>651</v>
      </c>
      <c r="E790">
        <v>0</v>
      </c>
    </row>
    <row r="791" spans="2:5" x14ac:dyDescent="0.25">
      <c r="B791" t="s">
        <v>67</v>
      </c>
      <c r="C791" t="s">
        <v>652</v>
      </c>
      <c r="D791" t="s">
        <v>653</v>
      </c>
      <c r="E791">
        <v>0</v>
      </c>
    </row>
    <row r="792" spans="2:5" x14ac:dyDescent="0.25">
      <c r="B792" t="s">
        <v>67</v>
      </c>
      <c r="C792" t="s">
        <v>654</v>
      </c>
      <c r="D792" t="s">
        <v>655</v>
      </c>
      <c r="E792">
        <v>220</v>
      </c>
    </row>
    <row r="793" spans="2:5" x14ac:dyDescent="0.25">
      <c r="B793" t="s">
        <v>70</v>
      </c>
      <c r="C793" t="s">
        <v>656</v>
      </c>
      <c r="D793" t="s">
        <v>657</v>
      </c>
      <c r="E793">
        <v>0</v>
      </c>
    </row>
    <row r="794" spans="2:5" x14ac:dyDescent="0.25">
      <c r="B794" t="s">
        <v>352</v>
      </c>
      <c r="C794" t="s">
        <v>658</v>
      </c>
      <c r="D794" t="s">
        <v>659</v>
      </c>
      <c r="E794">
        <v>0</v>
      </c>
    </row>
    <row r="795" spans="2:5" x14ac:dyDescent="0.25">
      <c r="B795" t="s">
        <v>52</v>
      </c>
      <c r="C795" t="s">
        <v>660</v>
      </c>
      <c r="D795" t="s">
        <v>661</v>
      </c>
      <c r="E795">
        <v>0</v>
      </c>
    </row>
    <row r="796" spans="2:5" x14ac:dyDescent="0.25">
      <c r="B796" t="s">
        <v>521</v>
      </c>
      <c r="C796" t="s">
        <v>662</v>
      </c>
      <c r="D796" t="s">
        <v>663</v>
      </c>
      <c r="E796">
        <v>0</v>
      </c>
    </row>
    <row r="797" spans="2:5" x14ac:dyDescent="0.25">
      <c r="B797" t="s">
        <v>209</v>
      </c>
      <c r="C797" t="s">
        <v>664</v>
      </c>
      <c r="D797" t="s">
        <v>665</v>
      </c>
      <c r="E797">
        <v>0</v>
      </c>
    </row>
    <row r="798" spans="2:5" x14ac:dyDescent="0.25">
      <c r="B798" t="s">
        <v>55</v>
      </c>
      <c r="C798" t="s">
        <v>666</v>
      </c>
      <c r="D798" t="s">
        <v>667</v>
      </c>
      <c r="E798">
        <v>0</v>
      </c>
    </row>
    <row r="799" spans="2:5" x14ac:dyDescent="0.25">
      <c r="B799" t="s">
        <v>55</v>
      </c>
      <c r="C799" t="s">
        <v>668</v>
      </c>
      <c r="D799" t="s">
        <v>669</v>
      </c>
      <c r="E799">
        <v>0</v>
      </c>
    </row>
    <row r="800" spans="2:5" x14ac:dyDescent="0.25">
      <c r="B800" t="s">
        <v>8</v>
      </c>
      <c r="C800" t="s">
        <v>670</v>
      </c>
      <c r="D800" t="s">
        <v>671</v>
      </c>
      <c r="E800">
        <v>0</v>
      </c>
    </row>
    <row r="801" spans="2:5" x14ac:dyDescent="0.25">
      <c r="B801" t="s">
        <v>17</v>
      </c>
      <c r="C801" t="s">
        <v>672</v>
      </c>
      <c r="D801" t="s">
        <v>673</v>
      </c>
      <c r="E801">
        <v>0</v>
      </c>
    </row>
    <row r="802" spans="2:5" x14ac:dyDescent="0.25">
      <c r="B802" t="s">
        <v>20</v>
      </c>
      <c r="C802" t="s">
        <v>674</v>
      </c>
      <c r="D802" t="s">
        <v>675</v>
      </c>
      <c r="E802">
        <v>0</v>
      </c>
    </row>
    <row r="803" spans="2:5" x14ac:dyDescent="0.25">
      <c r="B803" t="s">
        <v>20</v>
      </c>
      <c r="C803" t="s">
        <v>676</v>
      </c>
      <c r="D803" t="s">
        <v>677</v>
      </c>
      <c r="E803">
        <v>0</v>
      </c>
    </row>
    <row r="804" spans="2:5" x14ac:dyDescent="0.25">
      <c r="B804" t="s">
        <v>25</v>
      </c>
      <c r="C804" t="s">
        <v>678</v>
      </c>
      <c r="D804" t="s">
        <v>679</v>
      </c>
      <c r="E804">
        <v>0</v>
      </c>
    </row>
    <row r="805" spans="2:5" x14ac:dyDescent="0.25">
      <c r="B805" t="s">
        <v>680</v>
      </c>
      <c r="C805" t="s">
        <v>681</v>
      </c>
      <c r="D805" t="s">
        <v>682</v>
      </c>
      <c r="E805">
        <v>0</v>
      </c>
    </row>
    <row r="806" spans="2:5" x14ac:dyDescent="0.25">
      <c r="B806" t="s">
        <v>261</v>
      </c>
      <c r="C806" t="s">
        <v>683</v>
      </c>
      <c r="D806" t="s">
        <v>684</v>
      </c>
      <c r="E806">
        <v>0</v>
      </c>
    </row>
    <row r="807" spans="2:5" x14ac:dyDescent="0.25">
      <c r="B807" t="s">
        <v>14</v>
      </c>
      <c r="C807" t="s">
        <v>685</v>
      </c>
      <c r="D807" t="s">
        <v>686</v>
      </c>
      <c r="E807">
        <v>0</v>
      </c>
    </row>
    <row r="808" spans="2:5" x14ac:dyDescent="0.25">
      <c r="B808" t="s">
        <v>687</v>
      </c>
      <c r="C808" t="s">
        <v>688</v>
      </c>
      <c r="D808" t="s">
        <v>689</v>
      </c>
      <c r="E808">
        <v>0</v>
      </c>
    </row>
    <row r="809" spans="2:5" x14ac:dyDescent="0.25">
      <c r="B809" t="s">
        <v>195</v>
      </c>
      <c r="C809" t="s">
        <v>690</v>
      </c>
      <c r="D809" t="s">
        <v>691</v>
      </c>
      <c r="E809">
        <v>0</v>
      </c>
    </row>
    <row r="810" spans="2:5" x14ac:dyDescent="0.25">
      <c r="B810" t="s">
        <v>83</v>
      </c>
      <c r="C810" t="s">
        <v>692</v>
      </c>
      <c r="D810" t="s">
        <v>693</v>
      </c>
      <c r="E810">
        <v>15</v>
      </c>
    </row>
    <row r="811" spans="2:5" x14ac:dyDescent="0.25">
      <c r="B811" t="s">
        <v>694</v>
      </c>
      <c r="C811" t="s">
        <v>695</v>
      </c>
      <c r="D811" t="s">
        <v>696</v>
      </c>
      <c r="E811">
        <v>0</v>
      </c>
    </row>
    <row r="812" spans="2:5" x14ac:dyDescent="0.25">
      <c r="B812" t="s">
        <v>694</v>
      </c>
      <c r="C812" t="s">
        <v>695</v>
      </c>
      <c r="D812" t="s">
        <v>696</v>
      </c>
      <c r="E812">
        <v>0</v>
      </c>
    </row>
    <row r="813" spans="2:5" x14ac:dyDescent="0.25">
      <c r="B813" t="s">
        <v>80</v>
      </c>
      <c r="C813" t="s">
        <v>697</v>
      </c>
      <c r="D813" t="s">
        <v>698</v>
      </c>
      <c r="E813">
        <v>0</v>
      </c>
    </row>
    <row r="814" spans="2:5" x14ac:dyDescent="0.25">
      <c r="B814" t="s">
        <v>120</v>
      </c>
      <c r="C814" t="s">
        <v>699</v>
      </c>
      <c r="D814" t="s">
        <v>700</v>
      </c>
      <c r="E814">
        <v>0</v>
      </c>
    </row>
    <row r="815" spans="2:5" x14ac:dyDescent="0.25">
      <c r="B815" t="s">
        <v>8</v>
      </c>
      <c r="C815" t="s">
        <v>605</v>
      </c>
      <c r="D815" t="s">
        <v>606</v>
      </c>
      <c r="E815">
        <v>0</v>
      </c>
    </row>
    <row r="816" spans="2:5" x14ac:dyDescent="0.25">
      <c r="B816" t="s">
        <v>195</v>
      </c>
      <c r="C816" t="s">
        <v>701</v>
      </c>
      <c r="D816" t="s">
        <v>702</v>
      </c>
      <c r="E816">
        <v>0</v>
      </c>
    </row>
    <row r="817" spans="2:5" x14ac:dyDescent="0.25">
      <c r="B817" t="s">
        <v>134</v>
      </c>
      <c r="C817" t="s">
        <v>703</v>
      </c>
      <c r="D817" t="s">
        <v>704</v>
      </c>
      <c r="E817">
        <v>200</v>
      </c>
    </row>
    <row r="818" spans="2:5" x14ac:dyDescent="0.25">
      <c r="B818" t="s">
        <v>705</v>
      </c>
      <c r="C818" t="s">
        <v>706</v>
      </c>
      <c r="D818" t="s">
        <v>707</v>
      </c>
      <c r="E818">
        <v>0</v>
      </c>
    </row>
    <row r="819" spans="2:5" x14ac:dyDescent="0.25">
      <c r="B819" t="s">
        <v>55</v>
      </c>
      <c r="C819" t="s">
        <v>708</v>
      </c>
      <c r="D819" t="s">
        <v>709</v>
      </c>
      <c r="E819">
        <v>0</v>
      </c>
    </row>
    <row r="820" spans="2:5" x14ac:dyDescent="0.25">
      <c r="B820" t="s">
        <v>125</v>
      </c>
      <c r="C820" t="s">
        <v>710</v>
      </c>
      <c r="D820" t="s">
        <v>711</v>
      </c>
      <c r="E820">
        <v>0</v>
      </c>
    </row>
    <row r="821" spans="2:5" x14ac:dyDescent="0.25">
      <c r="B821" t="s">
        <v>195</v>
      </c>
      <c r="C821" t="s">
        <v>701</v>
      </c>
      <c r="D821" t="s">
        <v>702</v>
      </c>
      <c r="E821">
        <v>0</v>
      </c>
    </row>
    <row r="822" spans="2:5" x14ac:dyDescent="0.25">
      <c r="B822" t="s">
        <v>164</v>
      </c>
      <c r="C822" t="s">
        <v>718</v>
      </c>
      <c r="D822" t="s">
        <v>719</v>
      </c>
      <c r="E822">
        <v>0</v>
      </c>
    </row>
    <row r="823" spans="2:5" x14ac:dyDescent="0.25">
      <c r="B823" t="s">
        <v>164</v>
      </c>
      <c r="C823" t="s">
        <v>720</v>
      </c>
      <c r="D823" t="s">
        <v>721</v>
      </c>
      <c r="E823">
        <v>0</v>
      </c>
    </row>
    <row r="824" spans="2:5" x14ac:dyDescent="0.25">
      <c r="B824" t="s">
        <v>52</v>
      </c>
      <c r="C824" t="s">
        <v>722</v>
      </c>
      <c r="D824" t="s">
        <v>723</v>
      </c>
      <c r="E824">
        <v>0</v>
      </c>
    </row>
    <row r="825" spans="2:5" x14ac:dyDescent="0.25">
      <c r="B825" t="s">
        <v>80</v>
      </c>
      <c r="C825" t="s">
        <v>724</v>
      </c>
      <c r="D825" t="s">
        <v>725</v>
      </c>
      <c r="E825">
        <v>0</v>
      </c>
    </row>
    <row r="826" spans="2:5" x14ac:dyDescent="0.25">
      <c r="B826" t="s">
        <v>585</v>
      </c>
      <c r="C826" t="s">
        <v>726</v>
      </c>
      <c r="D826" t="s">
        <v>727</v>
      </c>
      <c r="E826">
        <v>140</v>
      </c>
    </row>
    <row r="827" spans="2:5" x14ac:dyDescent="0.25">
      <c r="B827" t="s">
        <v>175</v>
      </c>
      <c r="C827" t="s">
        <v>728</v>
      </c>
      <c r="D827" t="s">
        <v>729</v>
      </c>
      <c r="E827">
        <v>0</v>
      </c>
    </row>
    <row r="828" spans="2:5" x14ac:dyDescent="0.25">
      <c r="B828" t="s">
        <v>730</v>
      </c>
      <c r="C828" t="s">
        <v>731</v>
      </c>
      <c r="D828" t="s">
        <v>732</v>
      </c>
      <c r="E828">
        <v>0</v>
      </c>
    </row>
    <row r="829" spans="2:5" x14ac:dyDescent="0.25">
      <c r="B829" t="s">
        <v>148</v>
      </c>
      <c r="C829" t="s">
        <v>733</v>
      </c>
      <c r="D829" t="s">
        <v>734</v>
      </c>
      <c r="E829">
        <v>0</v>
      </c>
    </row>
    <row r="830" spans="2:5" x14ac:dyDescent="0.25">
      <c r="B830" t="s">
        <v>551</v>
      </c>
      <c r="C830" t="s">
        <v>735</v>
      </c>
      <c r="D830" t="s">
        <v>736</v>
      </c>
      <c r="E830">
        <v>0</v>
      </c>
    </row>
    <row r="831" spans="2:5" x14ac:dyDescent="0.25">
      <c r="B831" t="s">
        <v>120</v>
      </c>
      <c r="C831" t="s">
        <v>737</v>
      </c>
      <c r="D831" t="s">
        <v>738</v>
      </c>
      <c r="E831">
        <v>85</v>
      </c>
    </row>
    <row r="832" spans="2:5" x14ac:dyDescent="0.25">
      <c r="B832" t="s">
        <v>20</v>
      </c>
      <c r="C832" t="s">
        <v>739</v>
      </c>
      <c r="D832" t="s">
        <v>740</v>
      </c>
      <c r="E832">
        <v>40</v>
      </c>
    </row>
    <row r="833" spans="2:5" x14ac:dyDescent="0.25">
      <c r="B833" t="s">
        <v>11</v>
      </c>
      <c r="C833" t="s">
        <v>1388</v>
      </c>
      <c r="D833" t="s">
        <v>1389</v>
      </c>
      <c r="E833">
        <v>0</v>
      </c>
    </row>
    <row r="834" spans="2:5" x14ac:dyDescent="0.25">
      <c r="B834" t="s">
        <v>712</v>
      </c>
      <c r="C834" t="s">
        <v>713</v>
      </c>
      <c r="D834" t="s">
        <v>714</v>
      </c>
      <c r="E834">
        <v>768</v>
      </c>
    </row>
    <row r="835" spans="2:5" x14ac:dyDescent="0.25">
      <c r="B835" t="s">
        <v>551</v>
      </c>
      <c r="C835" t="s">
        <v>735</v>
      </c>
      <c r="D835" t="s">
        <v>736</v>
      </c>
      <c r="E835">
        <v>4</v>
      </c>
    </row>
    <row r="836" spans="2:5" x14ac:dyDescent="0.25">
      <c r="B836" t="s">
        <v>217</v>
      </c>
      <c r="C836" t="s">
        <v>761</v>
      </c>
      <c r="D836" t="s">
        <v>762</v>
      </c>
      <c r="E836">
        <v>0</v>
      </c>
    </row>
    <row r="837" spans="2:5" x14ac:dyDescent="0.25">
      <c r="B837" t="s">
        <v>715</v>
      </c>
      <c r="C837" t="s">
        <v>716</v>
      </c>
      <c r="D837" t="s">
        <v>717</v>
      </c>
      <c r="E837">
        <v>1215</v>
      </c>
    </row>
    <row r="838" spans="2:5" x14ac:dyDescent="0.25">
      <c r="B838" t="s">
        <v>164</v>
      </c>
      <c r="C838" t="s">
        <v>1094</v>
      </c>
      <c r="D838" t="s">
        <v>1095</v>
      </c>
      <c r="E838">
        <v>0</v>
      </c>
    </row>
    <row r="839" spans="2:5" x14ac:dyDescent="0.25">
      <c r="B839" t="s">
        <v>20</v>
      </c>
      <c r="C839" t="s">
        <v>615</v>
      </c>
      <c r="D839" t="s">
        <v>616</v>
      </c>
      <c r="E839">
        <v>0</v>
      </c>
    </row>
    <row r="840" spans="2:5" x14ac:dyDescent="0.25">
      <c r="B840" t="s">
        <v>217</v>
      </c>
      <c r="C840" t="s">
        <v>1088</v>
      </c>
      <c r="D840" t="s">
        <v>1089</v>
      </c>
      <c r="E840">
        <v>0</v>
      </c>
    </row>
    <row r="841" spans="2:5" x14ac:dyDescent="0.25">
      <c r="B841" t="s">
        <v>151</v>
      </c>
      <c r="C841" t="s">
        <v>1092</v>
      </c>
      <c r="D841" t="s">
        <v>1093</v>
      </c>
      <c r="E841">
        <v>1000</v>
      </c>
    </row>
    <row r="842" spans="2:5" x14ac:dyDescent="0.25">
      <c r="B842" t="s">
        <v>140</v>
      </c>
      <c r="C842" t="s">
        <v>1412</v>
      </c>
      <c r="D842" t="s">
        <v>1413</v>
      </c>
      <c r="E842">
        <v>0</v>
      </c>
    </row>
    <row r="843" spans="2:5" x14ac:dyDescent="0.25">
      <c r="B843" t="s">
        <v>140</v>
      </c>
      <c r="C843" t="s">
        <v>1414</v>
      </c>
      <c r="D843" t="s">
        <v>1415</v>
      </c>
      <c r="E843">
        <v>0</v>
      </c>
    </row>
    <row r="844" spans="2:5" x14ac:dyDescent="0.25">
      <c r="B844" t="s">
        <v>145</v>
      </c>
      <c r="C844" t="s">
        <v>1416</v>
      </c>
      <c r="D844" t="s">
        <v>1417</v>
      </c>
      <c r="E844">
        <v>0</v>
      </c>
    </row>
    <row r="845" spans="2:5" x14ac:dyDescent="0.25">
      <c r="B845" t="s">
        <v>61</v>
      </c>
      <c r="C845" t="s">
        <v>1418</v>
      </c>
      <c r="D845" t="s">
        <v>1419</v>
      </c>
      <c r="E845">
        <v>0</v>
      </c>
    </row>
    <row r="846" spans="2:5" x14ac:dyDescent="0.25">
      <c r="B846" t="s">
        <v>61</v>
      </c>
      <c r="C846" t="s">
        <v>1420</v>
      </c>
      <c r="D846" t="s">
        <v>1421</v>
      </c>
      <c r="E846">
        <v>0</v>
      </c>
    </row>
    <row r="847" spans="2:5" x14ac:dyDescent="0.25">
      <c r="B847" t="s">
        <v>195</v>
      </c>
      <c r="C847" t="s">
        <v>1422</v>
      </c>
      <c r="D847" t="s">
        <v>1423</v>
      </c>
      <c r="E847">
        <v>0</v>
      </c>
    </row>
    <row r="848" spans="2:5" x14ac:dyDescent="0.25">
      <c r="B848" t="s">
        <v>195</v>
      </c>
      <c r="C848" t="s">
        <v>1424</v>
      </c>
      <c r="D848" t="s">
        <v>1425</v>
      </c>
      <c r="E848">
        <v>0</v>
      </c>
    </row>
    <row r="849" spans="2:5" x14ac:dyDescent="0.25">
      <c r="B849" t="s">
        <v>195</v>
      </c>
      <c r="C849" t="s">
        <v>1426</v>
      </c>
      <c r="D849" t="s">
        <v>1427</v>
      </c>
      <c r="E849">
        <v>0</v>
      </c>
    </row>
    <row r="850" spans="2:5" x14ac:dyDescent="0.25">
      <c r="B850" t="s">
        <v>1428</v>
      </c>
      <c r="C850" t="s">
        <v>1429</v>
      </c>
      <c r="D850" t="s">
        <v>1430</v>
      </c>
      <c r="E850">
        <v>0</v>
      </c>
    </row>
    <row r="851" spans="2:5" x14ac:dyDescent="0.25">
      <c r="B851" t="s">
        <v>797</v>
      </c>
      <c r="C851" t="s">
        <v>1431</v>
      </c>
      <c r="D851" t="s">
        <v>928</v>
      </c>
      <c r="E851">
        <v>0</v>
      </c>
    </row>
    <row r="852" spans="2:5" x14ac:dyDescent="0.25">
      <c r="B852" t="s">
        <v>797</v>
      </c>
      <c r="C852" t="s">
        <v>1432</v>
      </c>
      <c r="D852" t="s">
        <v>767</v>
      </c>
      <c r="E852">
        <v>0</v>
      </c>
    </row>
    <row r="853" spans="2:5" x14ac:dyDescent="0.25">
      <c r="B853" t="s">
        <v>1433</v>
      </c>
      <c r="C853" t="s">
        <v>1434</v>
      </c>
      <c r="D853" t="s">
        <v>1435</v>
      </c>
      <c r="E853">
        <v>0</v>
      </c>
    </row>
    <row r="854" spans="2:5" x14ac:dyDescent="0.25">
      <c r="B854" t="s">
        <v>8</v>
      </c>
      <c r="C854" t="s">
        <v>1436</v>
      </c>
      <c r="D854" t="s">
        <v>1437</v>
      </c>
      <c r="E854">
        <v>0</v>
      </c>
    </row>
    <row r="855" spans="2:5" x14ac:dyDescent="0.25">
      <c r="B855" t="s">
        <v>705</v>
      </c>
      <c r="C855" t="s">
        <v>1117</v>
      </c>
      <c r="D855" t="s">
        <v>1118</v>
      </c>
      <c r="E855">
        <v>0</v>
      </c>
    </row>
    <row r="856" spans="2:5" x14ac:dyDescent="0.25">
      <c r="B856" t="s">
        <v>49</v>
      </c>
      <c r="C856" t="s">
        <v>322</v>
      </c>
      <c r="D856" t="s">
        <v>323</v>
      </c>
      <c r="E856">
        <v>2820</v>
      </c>
    </row>
    <row r="857" spans="2:5" x14ac:dyDescent="0.25">
      <c r="B857" t="s">
        <v>73</v>
      </c>
      <c r="C857" t="s">
        <v>324</v>
      </c>
      <c r="D857" t="s">
        <v>325</v>
      </c>
      <c r="E857">
        <v>0</v>
      </c>
    </row>
    <row r="858" spans="2:5" x14ac:dyDescent="0.25">
      <c r="B858" t="s">
        <v>91</v>
      </c>
      <c r="C858" t="s">
        <v>326</v>
      </c>
      <c r="D858" t="s">
        <v>327</v>
      </c>
      <c r="E858">
        <v>0</v>
      </c>
    </row>
    <row r="859" spans="2:5" x14ac:dyDescent="0.25">
      <c r="B859" t="s">
        <v>328</v>
      </c>
      <c r="C859" t="s">
        <v>329</v>
      </c>
      <c r="D859" t="s">
        <v>330</v>
      </c>
      <c r="E859">
        <v>0</v>
      </c>
    </row>
    <row r="860" spans="2:5" x14ac:dyDescent="0.25">
      <c r="B860" t="s">
        <v>195</v>
      </c>
      <c r="C860" t="s">
        <v>331</v>
      </c>
      <c r="D860" t="s">
        <v>332</v>
      </c>
      <c r="E860">
        <v>0</v>
      </c>
    </row>
    <row r="861" spans="2:5" x14ac:dyDescent="0.25">
      <c r="B861" t="s">
        <v>70</v>
      </c>
      <c r="C861" t="s">
        <v>333</v>
      </c>
      <c r="D861" t="s">
        <v>334</v>
      </c>
      <c r="E861">
        <v>0</v>
      </c>
    </row>
    <row r="862" spans="2:5" x14ac:dyDescent="0.25">
      <c r="B862" t="s">
        <v>55</v>
      </c>
      <c r="C862" t="s">
        <v>335</v>
      </c>
      <c r="D862" t="s">
        <v>336</v>
      </c>
      <c r="E862">
        <v>5</v>
      </c>
    </row>
    <row r="863" spans="2:5" x14ac:dyDescent="0.25">
      <c r="B863" t="s">
        <v>58</v>
      </c>
      <c r="C863" t="s">
        <v>337</v>
      </c>
      <c r="D863" t="s">
        <v>338</v>
      </c>
      <c r="E863">
        <v>0</v>
      </c>
    </row>
    <row r="864" spans="2:5" x14ac:dyDescent="0.25">
      <c r="B864" t="s">
        <v>61</v>
      </c>
      <c r="C864" t="s">
        <v>339</v>
      </c>
      <c r="D864" t="s">
        <v>340</v>
      </c>
      <c r="E864">
        <v>0</v>
      </c>
    </row>
    <row r="865" spans="2:5" x14ac:dyDescent="0.25">
      <c r="B865" t="s">
        <v>67</v>
      </c>
      <c r="C865" t="s">
        <v>341</v>
      </c>
      <c r="D865" t="s">
        <v>342</v>
      </c>
      <c r="E865">
        <v>0</v>
      </c>
    </row>
    <row r="866" spans="2:5" x14ac:dyDescent="0.25">
      <c r="B866" t="s">
        <v>343</v>
      </c>
      <c r="C866" t="s">
        <v>344</v>
      </c>
      <c r="D866" t="s">
        <v>345</v>
      </c>
      <c r="E866">
        <v>0</v>
      </c>
    </row>
    <row r="867" spans="2:5" x14ac:dyDescent="0.25">
      <c r="B867" t="s">
        <v>70</v>
      </c>
      <c r="C867" t="s">
        <v>346</v>
      </c>
      <c r="D867" t="s">
        <v>347</v>
      </c>
      <c r="E867">
        <v>0</v>
      </c>
    </row>
    <row r="868" spans="2:5" x14ac:dyDescent="0.25">
      <c r="B868" t="s">
        <v>70</v>
      </c>
      <c r="C868" t="s">
        <v>348</v>
      </c>
      <c r="D868" t="s">
        <v>349</v>
      </c>
      <c r="E868">
        <v>0</v>
      </c>
    </row>
    <row r="869" spans="2:5" x14ac:dyDescent="0.25">
      <c r="B869" t="s">
        <v>73</v>
      </c>
      <c r="C869" t="s">
        <v>324</v>
      </c>
      <c r="D869" t="s">
        <v>325</v>
      </c>
      <c r="E869">
        <v>0</v>
      </c>
    </row>
    <row r="870" spans="2:5" x14ac:dyDescent="0.25">
      <c r="B870" t="s">
        <v>73</v>
      </c>
      <c r="C870" t="s">
        <v>350</v>
      </c>
      <c r="D870" t="s">
        <v>351</v>
      </c>
      <c r="E870">
        <v>0</v>
      </c>
    </row>
    <row r="871" spans="2:5" x14ac:dyDescent="0.25">
      <c r="B871" t="s">
        <v>352</v>
      </c>
      <c r="C871" t="s">
        <v>353</v>
      </c>
      <c r="D871" t="s">
        <v>354</v>
      </c>
      <c r="E871">
        <v>0</v>
      </c>
    </row>
    <row r="872" spans="2:5" x14ac:dyDescent="0.25">
      <c r="B872" t="s">
        <v>86</v>
      </c>
      <c r="C872" t="s">
        <v>355</v>
      </c>
      <c r="D872" t="s">
        <v>356</v>
      </c>
      <c r="E872">
        <v>0</v>
      </c>
    </row>
    <row r="873" spans="2:5" x14ac:dyDescent="0.25">
      <c r="B873" t="s">
        <v>52</v>
      </c>
      <c r="C873" t="s">
        <v>357</v>
      </c>
      <c r="D873" t="s">
        <v>358</v>
      </c>
      <c r="E873">
        <v>0</v>
      </c>
    </row>
    <row r="874" spans="2:5" x14ac:dyDescent="0.25">
      <c r="B874" t="s">
        <v>52</v>
      </c>
      <c r="C874" t="s">
        <v>359</v>
      </c>
      <c r="D874" t="s">
        <v>360</v>
      </c>
      <c r="E874">
        <v>0</v>
      </c>
    </row>
    <row r="875" spans="2:5" x14ac:dyDescent="0.25">
      <c r="B875" t="s">
        <v>161</v>
      </c>
      <c r="C875" t="s">
        <v>361</v>
      </c>
      <c r="D875" t="s">
        <v>362</v>
      </c>
      <c r="E875">
        <v>0</v>
      </c>
    </row>
    <row r="876" spans="2:5" x14ac:dyDescent="0.25">
      <c r="B876" t="s">
        <v>8</v>
      </c>
      <c r="C876" t="s">
        <v>363</v>
      </c>
      <c r="D876" t="s">
        <v>364</v>
      </c>
      <c r="E876">
        <v>0</v>
      </c>
    </row>
    <row r="877" spans="2:5" x14ac:dyDescent="0.25">
      <c r="B877" t="s">
        <v>8</v>
      </c>
      <c r="C877" t="s">
        <v>365</v>
      </c>
      <c r="D877" t="s">
        <v>366</v>
      </c>
      <c r="E877">
        <v>0</v>
      </c>
    </row>
    <row r="878" spans="2:5" x14ac:dyDescent="0.25">
      <c r="B878" t="s">
        <v>20</v>
      </c>
      <c r="C878" t="s">
        <v>367</v>
      </c>
      <c r="D878" t="s">
        <v>368</v>
      </c>
      <c r="E878">
        <v>0</v>
      </c>
    </row>
    <row r="879" spans="2:5" x14ac:dyDescent="0.25">
      <c r="B879" t="s">
        <v>25</v>
      </c>
      <c r="C879" t="s">
        <v>369</v>
      </c>
      <c r="D879" t="s">
        <v>370</v>
      </c>
      <c r="E879">
        <v>0</v>
      </c>
    </row>
    <row r="880" spans="2:5" x14ac:dyDescent="0.25">
      <c r="B880" t="s">
        <v>14</v>
      </c>
      <c r="C880" t="s">
        <v>371</v>
      </c>
      <c r="D880" t="s">
        <v>372</v>
      </c>
      <c r="E880">
        <v>0</v>
      </c>
    </row>
    <row r="881" spans="2:5" x14ac:dyDescent="0.25">
      <c r="B881" t="s">
        <v>14</v>
      </c>
      <c r="C881" t="s">
        <v>373</v>
      </c>
      <c r="D881" t="s">
        <v>374</v>
      </c>
      <c r="E881">
        <v>0</v>
      </c>
    </row>
    <row r="882" spans="2:5" x14ac:dyDescent="0.25">
      <c r="B882" t="s">
        <v>14</v>
      </c>
      <c r="C882" t="s">
        <v>375</v>
      </c>
      <c r="D882" t="s">
        <v>376</v>
      </c>
      <c r="E882">
        <v>0</v>
      </c>
    </row>
    <row r="883" spans="2:5" x14ac:dyDescent="0.25">
      <c r="B883" t="s">
        <v>377</v>
      </c>
      <c r="C883" t="s">
        <v>378</v>
      </c>
      <c r="D883" t="s">
        <v>379</v>
      </c>
      <c r="E883">
        <v>0</v>
      </c>
    </row>
    <row r="884" spans="2:5" x14ac:dyDescent="0.25">
      <c r="B884" t="s">
        <v>380</v>
      </c>
      <c r="C884" t="s">
        <v>381</v>
      </c>
      <c r="D884" t="s">
        <v>382</v>
      </c>
      <c r="E884">
        <v>0</v>
      </c>
    </row>
    <row r="885" spans="2:5" x14ac:dyDescent="0.25">
      <c r="B885" t="s">
        <v>58</v>
      </c>
      <c r="C885" t="s">
        <v>383</v>
      </c>
      <c r="D885" t="s">
        <v>384</v>
      </c>
      <c r="E885">
        <v>0</v>
      </c>
    </row>
    <row r="886" spans="2:5" x14ac:dyDescent="0.25">
      <c r="B886" t="s">
        <v>385</v>
      </c>
      <c r="C886" t="s">
        <v>386</v>
      </c>
      <c r="D886" t="s">
        <v>387</v>
      </c>
      <c r="E886">
        <v>0</v>
      </c>
    </row>
    <row r="887" spans="2:5" x14ac:dyDescent="0.25">
      <c r="B887" t="s">
        <v>70</v>
      </c>
      <c r="C887" t="s">
        <v>388</v>
      </c>
      <c r="D887" t="s">
        <v>389</v>
      </c>
      <c r="E887">
        <v>0</v>
      </c>
    </row>
    <row r="888" spans="2:5" x14ac:dyDescent="0.25">
      <c r="B888" t="s">
        <v>64</v>
      </c>
      <c r="C888" t="s">
        <v>390</v>
      </c>
      <c r="D888" t="s">
        <v>391</v>
      </c>
      <c r="E888">
        <v>0</v>
      </c>
    </row>
    <row r="889" spans="2:5" x14ac:dyDescent="0.25">
      <c r="B889" t="s">
        <v>380</v>
      </c>
      <c r="C889" t="s">
        <v>381</v>
      </c>
      <c r="D889" t="s">
        <v>382</v>
      </c>
      <c r="E889">
        <v>0</v>
      </c>
    </row>
    <row r="890" spans="2:5" x14ac:dyDescent="0.25">
      <c r="B890" t="s">
        <v>140</v>
      </c>
      <c r="C890" t="s">
        <v>392</v>
      </c>
      <c r="D890" t="s">
        <v>393</v>
      </c>
      <c r="E890">
        <v>320</v>
      </c>
    </row>
    <row r="891" spans="2:5" x14ac:dyDescent="0.25">
      <c r="B891" t="s">
        <v>83</v>
      </c>
      <c r="C891" t="s">
        <v>394</v>
      </c>
      <c r="D891" t="s">
        <v>395</v>
      </c>
      <c r="E891">
        <v>0</v>
      </c>
    </row>
    <row r="892" spans="2:5" x14ac:dyDescent="0.25">
      <c r="B892" t="s">
        <v>17</v>
      </c>
      <c r="C892" t="s">
        <v>396</v>
      </c>
      <c r="D892" t="s">
        <v>397</v>
      </c>
      <c r="E892">
        <v>1540</v>
      </c>
    </row>
    <row r="893" spans="2:5" x14ac:dyDescent="0.25">
      <c r="B893" t="s">
        <v>352</v>
      </c>
      <c r="C893" t="s">
        <v>398</v>
      </c>
      <c r="D893" t="s">
        <v>399</v>
      </c>
      <c r="E893">
        <v>0</v>
      </c>
    </row>
    <row r="894" spans="2:5" x14ac:dyDescent="0.25">
      <c r="B894" t="s">
        <v>546</v>
      </c>
      <c r="C894" t="s">
        <v>1212</v>
      </c>
      <c r="D894" t="s">
        <v>1213</v>
      </c>
      <c r="E894">
        <v>39</v>
      </c>
    </row>
    <row r="895" spans="2:5" x14ac:dyDescent="0.25">
      <c r="B895" t="s">
        <v>109</v>
      </c>
      <c r="C895" t="s">
        <v>1214</v>
      </c>
      <c r="D895" t="s">
        <v>1215</v>
      </c>
      <c r="E895">
        <v>340</v>
      </c>
    </row>
    <row r="896" spans="2:5" x14ac:dyDescent="0.25">
      <c r="B896" t="s">
        <v>380</v>
      </c>
      <c r="C896" t="s">
        <v>381</v>
      </c>
      <c r="D896" t="s">
        <v>382</v>
      </c>
      <c r="E896">
        <v>0</v>
      </c>
    </row>
    <row r="897" spans="2:5" x14ac:dyDescent="0.25">
      <c r="B897" t="s">
        <v>164</v>
      </c>
      <c r="C897" t="s">
        <v>400</v>
      </c>
      <c r="D897" t="s">
        <v>401</v>
      </c>
      <c r="E897">
        <v>0</v>
      </c>
    </row>
    <row r="898" spans="2:5" x14ac:dyDescent="0.25">
      <c r="B898" t="s">
        <v>164</v>
      </c>
      <c r="C898" t="s">
        <v>402</v>
      </c>
      <c r="D898" t="s">
        <v>403</v>
      </c>
      <c r="E898">
        <v>0</v>
      </c>
    </row>
    <row r="899" spans="2:5" x14ac:dyDescent="0.25">
      <c r="B899" t="s">
        <v>80</v>
      </c>
      <c r="C899" t="s">
        <v>404</v>
      </c>
      <c r="D899" t="s">
        <v>405</v>
      </c>
      <c r="E899">
        <v>0</v>
      </c>
    </row>
    <row r="900" spans="2:5" x14ac:dyDescent="0.25">
      <c r="B900" t="s">
        <v>120</v>
      </c>
      <c r="C900" t="s">
        <v>406</v>
      </c>
      <c r="D900" t="s">
        <v>407</v>
      </c>
      <c r="E900">
        <v>0</v>
      </c>
    </row>
    <row r="901" spans="2:5" x14ac:dyDescent="0.25">
      <c r="B901" t="s">
        <v>408</v>
      </c>
      <c r="C901" t="s">
        <v>409</v>
      </c>
      <c r="D901" t="s">
        <v>410</v>
      </c>
      <c r="E901">
        <v>500</v>
      </c>
    </row>
    <row r="902" spans="2:5" x14ac:dyDescent="0.25">
      <c r="B902" t="s">
        <v>411</v>
      </c>
      <c r="C902" t="s">
        <v>412</v>
      </c>
      <c r="D902" t="s">
        <v>413</v>
      </c>
      <c r="E902">
        <v>525</v>
      </c>
    </row>
    <row r="903" spans="2:5" x14ac:dyDescent="0.25">
      <c r="B903" t="s">
        <v>80</v>
      </c>
      <c r="C903" t="s">
        <v>414</v>
      </c>
      <c r="D903" t="s">
        <v>415</v>
      </c>
      <c r="E903">
        <v>0</v>
      </c>
    </row>
    <row r="904" spans="2:5" x14ac:dyDescent="0.25">
      <c r="B904" t="s">
        <v>164</v>
      </c>
      <c r="C904" t="s">
        <v>416</v>
      </c>
      <c r="D904" t="s">
        <v>417</v>
      </c>
      <c r="E904">
        <v>0</v>
      </c>
    </row>
    <row r="905" spans="2:5" x14ac:dyDescent="0.25">
      <c r="B905" t="s">
        <v>164</v>
      </c>
      <c r="C905" t="s">
        <v>416</v>
      </c>
      <c r="D905" t="s">
        <v>417</v>
      </c>
      <c r="E905">
        <v>0</v>
      </c>
    </row>
    <row r="906" spans="2:5" x14ac:dyDescent="0.25">
      <c r="B906" t="s">
        <v>418</v>
      </c>
      <c r="C906" t="s">
        <v>419</v>
      </c>
      <c r="D906" t="s">
        <v>420</v>
      </c>
      <c r="E906">
        <v>0</v>
      </c>
    </row>
    <row r="907" spans="2:5" x14ac:dyDescent="0.25">
      <c r="B907" t="s">
        <v>418</v>
      </c>
      <c r="C907" t="s">
        <v>419</v>
      </c>
      <c r="D907" t="s">
        <v>420</v>
      </c>
      <c r="E907">
        <v>600</v>
      </c>
    </row>
    <row r="908" spans="2:5" x14ac:dyDescent="0.25">
      <c r="B908" t="s">
        <v>186</v>
      </c>
      <c r="C908" t="s">
        <v>421</v>
      </c>
      <c r="D908" t="s">
        <v>422</v>
      </c>
      <c r="E908">
        <v>200</v>
      </c>
    </row>
    <row r="909" spans="2:5" x14ac:dyDescent="0.25">
      <c r="B909" t="s">
        <v>418</v>
      </c>
      <c r="C909" t="s">
        <v>419</v>
      </c>
      <c r="D909" t="s">
        <v>420</v>
      </c>
      <c r="E909">
        <v>0</v>
      </c>
    </row>
    <row r="910" spans="2:5" x14ac:dyDescent="0.25">
      <c r="B910" t="s">
        <v>418</v>
      </c>
      <c r="C910" t="s">
        <v>423</v>
      </c>
      <c r="D910" t="s">
        <v>424</v>
      </c>
      <c r="E910">
        <v>0</v>
      </c>
    </row>
    <row r="911" spans="2:5" x14ac:dyDescent="0.25">
      <c r="B911" t="s">
        <v>418</v>
      </c>
      <c r="C911" t="s">
        <v>423</v>
      </c>
      <c r="D911" t="s">
        <v>424</v>
      </c>
      <c r="E911">
        <v>16880</v>
      </c>
    </row>
    <row r="912" spans="2:5" x14ac:dyDescent="0.25">
      <c r="B912" t="s">
        <v>83</v>
      </c>
      <c r="C912" t="s">
        <v>425</v>
      </c>
      <c r="D912" t="s">
        <v>426</v>
      </c>
      <c r="E912">
        <v>55</v>
      </c>
    </row>
    <row r="913" spans="2:5" x14ac:dyDescent="0.25">
      <c r="B913" t="s">
        <v>148</v>
      </c>
      <c r="C913" t="s">
        <v>427</v>
      </c>
      <c r="D913" t="s">
        <v>428</v>
      </c>
      <c r="E913">
        <v>0</v>
      </c>
    </row>
    <row r="914" spans="2:5" x14ac:dyDescent="0.25">
      <c r="B914" t="s">
        <v>186</v>
      </c>
      <c r="C914" t="s">
        <v>429</v>
      </c>
      <c r="D914" t="s">
        <v>430</v>
      </c>
      <c r="E914">
        <v>0</v>
      </c>
    </row>
    <row r="915" spans="2:5" x14ac:dyDescent="0.25">
      <c r="B915" t="s">
        <v>20</v>
      </c>
      <c r="C915" t="s">
        <v>431</v>
      </c>
      <c r="D915" t="s">
        <v>432</v>
      </c>
      <c r="E915">
        <v>5180</v>
      </c>
    </row>
    <row r="916" spans="2:5" x14ac:dyDescent="0.25">
      <c r="B916" t="s">
        <v>52</v>
      </c>
      <c r="C916" t="s">
        <v>433</v>
      </c>
      <c r="D916" t="s">
        <v>434</v>
      </c>
      <c r="E916">
        <v>20</v>
      </c>
    </row>
    <row r="917" spans="2:5" x14ac:dyDescent="0.25">
      <c r="B917" t="s">
        <v>411</v>
      </c>
      <c r="C917" t="s">
        <v>412</v>
      </c>
      <c r="D917" t="s">
        <v>413</v>
      </c>
      <c r="E917">
        <v>0</v>
      </c>
    </row>
    <row r="918" spans="2:5" x14ac:dyDescent="0.25">
      <c r="B918" t="s">
        <v>435</v>
      </c>
      <c r="C918" t="s">
        <v>436</v>
      </c>
      <c r="D918" t="s">
        <v>437</v>
      </c>
      <c r="E918">
        <v>50</v>
      </c>
    </row>
    <row r="919" spans="2:5" x14ac:dyDescent="0.25">
      <c r="B919" t="s">
        <v>134</v>
      </c>
      <c r="C919" t="s">
        <v>903</v>
      </c>
      <c r="D919" t="s">
        <v>904</v>
      </c>
      <c r="E919">
        <v>0</v>
      </c>
    </row>
    <row r="920" spans="2:5" x14ac:dyDescent="0.25">
      <c r="B920" t="s">
        <v>418</v>
      </c>
      <c r="C920" t="s">
        <v>423</v>
      </c>
      <c r="D920" t="s">
        <v>424</v>
      </c>
      <c r="E920">
        <v>0</v>
      </c>
    </row>
    <row r="921" spans="2:5" x14ac:dyDescent="0.25">
      <c r="B921" t="s">
        <v>418</v>
      </c>
      <c r="C921" t="s">
        <v>423</v>
      </c>
      <c r="D921" t="s">
        <v>424</v>
      </c>
      <c r="E921">
        <v>0</v>
      </c>
    </row>
    <row r="922" spans="2:5" x14ac:dyDescent="0.25">
      <c r="B922" t="s">
        <v>546</v>
      </c>
      <c r="C922" t="s">
        <v>1262</v>
      </c>
      <c r="D922" t="s">
        <v>1263</v>
      </c>
      <c r="E922">
        <v>0</v>
      </c>
    </row>
    <row r="923" spans="2:5" x14ac:dyDescent="0.25">
      <c r="B923" t="s">
        <v>546</v>
      </c>
      <c r="C923" t="s">
        <v>1262</v>
      </c>
      <c r="D923" t="s">
        <v>1263</v>
      </c>
      <c r="E923">
        <v>0</v>
      </c>
    </row>
    <row r="924" spans="2:5" x14ac:dyDescent="0.25">
      <c r="B924" t="s">
        <v>175</v>
      </c>
      <c r="C924" t="s">
        <v>1519</v>
      </c>
      <c r="D924" t="s">
        <v>1520</v>
      </c>
      <c r="E924">
        <v>3</v>
      </c>
    </row>
    <row r="925" spans="2:5" x14ac:dyDescent="0.25">
      <c r="B925" t="s">
        <v>551</v>
      </c>
      <c r="C925" t="s">
        <v>1216</v>
      </c>
      <c r="D925" t="s">
        <v>1217</v>
      </c>
      <c r="E925">
        <v>145</v>
      </c>
    </row>
    <row r="926" spans="2:5" x14ac:dyDescent="0.25">
      <c r="B926" t="s">
        <v>217</v>
      </c>
      <c r="C926" t="s">
        <v>931</v>
      </c>
      <c r="D926" t="s">
        <v>932</v>
      </c>
      <c r="E926">
        <v>0</v>
      </c>
    </row>
    <row r="927" spans="2:5" x14ac:dyDescent="0.25">
      <c r="B927" t="s">
        <v>148</v>
      </c>
      <c r="C927" t="s">
        <v>923</v>
      </c>
      <c r="D927" t="s">
        <v>924</v>
      </c>
      <c r="E927">
        <v>488</v>
      </c>
    </row>
    <row r="928" spans="2:5" x14ac:dyDescent="0.25">
      <c r="B928" t="s">
        <v>148</v>
      </c>
      <c r="C928" t="s">
        <v>1218</v>
      </c>
      <c r="D928" t="s">
        <v>1219</v>
      </c>
      <c r="E928">
        <v>50</v>
      </c>
    </row>
    <row r="929" spans="2:5" x14ac:dyDescent="0.25">
      <c r="B929" t="s">
        <v>140</v>
      </c>
      <c r="C929" t="s">
        <v>1220</v>
      </c>
      <c r="D929" t="s">
        <v>1221</v>
      </c>
      <c r="E929">
        <v>10</v>
      </c>
    </row>
    <row r="930" spans="2:5" x14ac:dyDescent="0.25">
      <c r="B930" t="s">
        <v>140</v>
      </c>
      <c r="C930" t="s">
        <v>1222</v>
      </c>
      <c r="D930" t="s">
        <v>1223</v>
      </c>
      <c r="E930">
        <v>0</v>
      </c>
    </row>
    <row r="931" spans="2:5" x14ac:dyDescent="0.25">
      <c r="B931" t="s">
        <v>217</v>
      </c>
      <c r="C931" t="s">
        <v>1224</v>
      </c>
      <c r="D931" t="s">
        <v>1225</v>
      </c>
      <c r="E931">
        <v>0</v>
      </c>
    </row>
    <row r="932" spans="2:5" x14ac:dyDescent="0.25">
      <c r="B932" t="s">
        <v>195</v>
      </c>
      <c r="C932" t="s">
        <v>1226</v>
      </c>
      <c r="D932" t="s">
        <v>1227</v>
      </c>
      <c r="E932">
        <v>0</v>
      </c>
    </row>
    <row r="933" spans="2:5" x14ac:dyDescent="0.25">
      <c r="B933" t="s">
        <v>195</v>
      </c>
      <c r="C933" t="s">
        <v>1228</v>
      </c>
      <c r="D933" t="s">
        <v>1229</v>
      </c>
      <c r="E933">
        <v>0</v>
      </c>
    </row>
    <row r="934" spans="2:5" x14ac:dyDescent="0.25">
      <c r="B934" t="s">
        <v>64</v>
      </c>
      <c r="C934" t="s">
        <v>390</v>
      </c>
      <c r="D934" t="s">
        <v>391</v>
      </c>
      <c r="E934">
        <v>0</v>
      </c>
    </row>
    <row r="935" spans="2:5" x14ac:dyDescent="0.25">
      <c r="B935" t="s">
        <v>705</v>
      </c>
      <c r="C935" t="s">
        <v>1230</v>
      </c>
      <c r="D935" t="s">
        <v>1231</v>
      </c>
      <c r="E935">
        <v>99</v>
      </c>
    </row>
    <row r="936" spans="2:5" x14ac:dyDescent="0.25">
      <c r="B936" t="s">
        <v>797</v>
      </c>
      <c r="C936" t="s">
        <v>1232</v>
      </c>
      <c r="D936" t="s">
        <v>1233</v>
      </c>
      <c r="E936">
        <v>0</v>
      </c>
    </row>
    <row r="937" spans="2:5" x14ac:dyDescent="0.25">
      <c r="B937" t="s">
        <v>70</v>
      </c>
      <c r="C937" t="s">
        <v>1234</v>
      </c>
      <c r="D937" t="s">
        <v>1235</v>
      </c>
      <c r="E937">
        <v>0</v>
      </c>
    </row>
    <row r="938" spans="2:5" x14ac:dyDescent="0.25">
      <c r="B938" t="s">
        <v>518</v>
      </c>
      <c r="C938" t="s">
        <v>1236</v>
      </c>
      <c r="D938" t="s">
        <v>1237</v>
      </c>
      <c r="E938">
        <v>0</v>
      </c>
    </row>
    <row r="939" spans="2:5" x14ac:dyDescent="0.25">
      <c r="B939" t="s">
        <v>705</v>
      </c>
      <c r="C939" t="s">
        <v>1230</v>
      </c>
      <c r="D939" t="s">
        <v>1231</v>
      </c>
      <c r="E939">
        <v>0</v>
      </c>
    </row>
    <row r="940" spans="2:5" x14ac:dyDescent="0.25">
      <c r="B940" t="s">
        <v>1238</v>
      </c>
      <c r="C940" t="s">
        <v>1239</v>
      </c>
      <c r="D940" t="s">
        <v>1240</v>
      </c>
      <c r="E940">
        <v>0</v>
      </c>
    </row>
    <row r="941" spans="2:5" x14ac:dyDescent="0.25">
      <c r="B941" t="s">
        <v>217</v>
      </c>
      <c r="C941" t="s">
        <v>972</v>
      </c>
      <c r="D941" t="s">
        <v>973</v>
      </c>
      <c r="E941">
        <v>0</v>
      </c>
    </row>
    <row r="942" spans="2:5" x14ac:dyDescent="0.25">
      <c r="B942" t="s">
        <v>114</v>
      </c>
      <c r="C942" t="s">
        <v>549</v>
      </c>
      <c r="D942" t="s">
        <v>550</v>
      </c>
      <c r="E942">
        <v>0</v>
      </c>
    </row>
    <row r="943" spans="2:5" x14ac:dyDescent="0.25">
      <c r="B943" t="s">
        <v>148</v>
      </c>
      <c r="C943" t="s">
        <v>544</v>
      </c>
      <c r="D943" t="s">
        <v>545</v>
      </c>
      <c r="E943">
        <v>0</v>
      </c>
    </row>
    <row r="944" spans="2:5" x14ac:dyDescent="0.25">
      <c r="B944" t="s">
        <v>352</v>
      </c>
      <c r="C944" t="s">
        <v>1320</v>
      </c>
      <c r="D944" t="s">
        <v>1321</v>
      </c>
      <c r="E944">
        <v>0</v>
      </c>
    </row>
    <row r="945" spans="2:5" x14ac:dyDescent="0.25">
      <c r="B945" t="s">
        <v>546</v>
      </c>
      <c r="C945" t="s">
        <v>547</v>
      </c>
      <c r="D945" t="s">
        <v>548</v>
      </c>
      <c r="E945">
        <v>0</v>
      </c>
    </row>
    <row r="946" spans="2:5" x14ac:dyDescent="0.25">
      <c r="B946" t="s">
        <v>546</v>
      </c>
      <c r="C946" t="s">
        <v>547</v>
      </c>
      <c r="D946" t="s">
        <v>548</v>
      </c>
      <c r="E946">
        <v>0</v>
      </c>
    </row>
    <row r="947" spans="2:5" x14ac:dyDescent="0.25">
      <c r="B947" t="s">
        <v>120</v>
      </c>
      <c r="C947" t="s">
        <v>540</v>
      </c>
      <c r="D947" t="s">
        <v>541</v>
      </c>
      <c r="E947">
        <v>0</v>
      </c>
    </row>
    <row r="948" spans="2:5" x14ac:dyDescent="0.25">
      <c r="B948" t="s">
        <v>1020</v>
      </c>
      <c r="C948" t="s">
        <v>1021</v>
      </c>
      <c r="D948" t="s">
        <v>1022</v>
      </c>
      <c r="E948">
        <v>0</v>
      </c>
    </row>
    <row r="949" spans="2:5" x14ac:dyDescent="0.25">
      <c r="B949" t="s">
        <v>148</v>
      </c>
      <c r="C949" t="s">
        <v>1344</v>
      </c>
      <c r="D949" t="s">
        <v>1345</v>
      </c>
      <c r="E949">
        <v>80</v>
      </c>
    </row>
    <row r="950" spans="2:5" x14ac:dyDescent="0.25">
      <c r="B950" t="s">
        <v>1313</v>
      </c>
      <c r="C950" t="s">
        <v>1318</v>
      </c>
      <c r="D950" t="s">
        <v>1319</v>
      </c>
      <c r="E950">
        <v>0</v>
      </c>
    </row>
    <row r="951" spans="2:5" x14ac:dyDescent="0.25">
      <c r="B951" t="s">
        <v>352</v>
      </c>
      <c r="C951" t="s">
        <v>1320</v>
      </c>
      <c r="D951" t="s">
        <v>1321</v>
      </c>
      <c r="E951">
        <v>0</v>
      </c>
    </row>
    <row r="952" spans="2:5" x14ac:dyDescent="0.25">
      <c r="B952" t="s">
        <v>148</v>
      </c>
      <c r="C952" t="s">
        <v>1346</v>
      </c>
      <c r="D952" t="s">
        <v>1347</v>
      </c>
      <c r="E952">
        <v>400</v>
      </c>
    </row>
    <row r="953" spans="2:5" x14ac:dyDescent="0.25">
      <c r="B953" t="s">
        <v>559</v>
      </c>
      <c r="C953" t="s">
        <v>560</v>
      </c>
      <c r="D953" t="s">
        <v>561</v>
      </c>
      <c r="E953">
        <v>0</v>
      </c>
    </row>
    <row r="954" spans="2:5" x14ac:dyDescent="0.25">
      <c r="B954" t="s">
        <v>140</v>
      </c>
      <c r="C954" t="s">
        <v>1348</v>
      </c>
      <c r="D954" t="s">
        <v>1349</v>
      </c>
      <c r="E954">
        <v>0</v>
      </c>
    </row>
    <row r="955" spans="2:5" x14ac:dyDescent="0.25">
      <c r="B955" t="s">
        <v>1154</v>
      </c>
      <c r="C955" t="s">
        <v>1350</v>
      </c>
      <c r="D955" t="s">
        <v>1351</v>
      </c>
      <c r="E955">
        <v>0</v>
      </c>
    </row>
    <row r="956" spans="2:5" x14ac:dyDescent="0.25">
      <c r="B956" t="s">
        <v>145</v>
      </c>
      <c r="C956" t="s">
        <v>1352</v>
      </c>
      <c r="D956" t="s">
        <v>1353</v>
      </c>
      <c r="E956">
        <v>0</v>
      </c>
    </row>
    <row r="957" spans="2:5" x14ac:dyDescent="0.25">
      <c r="B957" t="s">
        <v>61</v>
      </c>
      <c r="C957" t="s">
        <v>1354</v>
      </c>
      <c r="D957" t="s">
        <v>1355</v>
      </c>
      <c r="E957">
        <v>0</v>
      </c>
    </row>
    <row r="958" spans="2:5" x14ac:dyDescent="0.25">
      <c r="B958" t="s">
        <v>217</v>
      </c>
      <c r="C958" t="s">
        <v>1356</v>
      </c>
      <c r="D958" t="s">
        <v>1357</v>
      </c>
      <c r="E958">
        <v>0</v>
      </c>
    </row>
    <row r="959" spans="2:5" x14ac:dyDescent="0.25">
      <c r="B959" t="s">
        <v>195</v>
      </c>
      <c r="C959" t="s">
        <v>1358</v>
      </c>
      <c r="D959" t="s">
        <v>1359</v>
      </c>
      <c r="E959">
        <v>0</v>
      </c>
    </row>
    <row r="960" spans="2:5" x14ac:dyDescent="0.25">
      <c r="B960" t="s">
        <v>148</v>
      </c>
      <c r="C960" t="s">
        <v>544</v>
      </c>
      <c r="D960" t="s">
        <v>545</v>
      </c>
      <c r="E960">
        <v>0</v>
      </c>
    </row>
    <row r="961" spans="2:5" x14ac:dyDescent="0.25">
      <c r="B961" t="s">
        <v>705</v>
      </c>
      <c r="C961" t="s">
        <v>1360</v>
      </c>
      <c r="D961" t="s">
        <v>1361</v>
      </c>
      <c r="E961">
        <v>50</v>
      </c>
    </row>
    <row r="962" spans="2:5" x14ac:dyDescent="0.25">
      <c r="B962" t="s">
        <v>554</v>
      </c>
      <c r="C962" t="s">
        <v>555</v>
      </c>
      <c r="D962" t="s">
        <v>556</v>
      </c>
      <c r="E962">
        <v>0</v>
      </c>
    </row>
    <row r="963" spans="2:5" x14ac:dyDescent="0.25">
      <c r="B963" t="s">
        <v>73</v>
      </c>
      <c r="C963" t="s">
        <v>1455</v>
      </c>
      <c r="D963" t="s">
        <v>1456</v>
      </c>
      <c r="E963">
        <v>0</v>
      </c>
    </row>
    <row r="964" spans="2:5" x14ac:dyDescent="0.25">
      <c r="B964" t="s">
        <v>352</v>
      </c>
      <c r="C964" t="s">
        <v>1457</v>
      </c>
      <c r="D964" t="s">
        <v>1458</v>
      </c>
      <c r="E964">
        <v>0</v>
      </c>
    </row>
    <row r="965" spans="2:5" x14ac:dyDescent="0.25">
      <c r="B965" t="s">
        <v>80</v>
      </c>
      <c r="C965" t="s">
        <v>1459</v>
      </c>
      <c r="D965" t="s">
        <v>1460</v>
      </c>
      <c r="E965">
        <v>0</v>
      </c>
    </row>
    <row r="966" spans="2:5" x14ac:dyDescent="0.25">
      <c r="B966" t="s">
        <v>203</v>
      </c>
      <c r="C966" t="s">
        <v>1461</v>
      </c>
      <c r="D966" t="s">
        <v>1462</v>
      </c>
      <c r="E966">
        <v>0</v>
      </c>
    </row>
    <row r="967" spans="2:5" x14ac:dyDescent="0.25">
      <c r="B967" t="s">
        <v>1463</v>
      </c>
      <c r="C967" t="s">
        <v>1464</v>
      </c>
      <c r="D967" t="s">
        <v>1465</v>
      </c>
      <c r="E967">
        <v>0</v>
      </c>
    </row>
    <row r="968" spans="2:5" x14ac:dyDescent="0.25">
      <c r="B968" t="s">
        <v>14</v>
      </c>
      <c r="C968" t="s">
        <v>1010</v>
      </c>
      <c r="D968" t="s">
        <v>1011</v>
      </c>
      <c r="E968">
        <v>0</v>
      </c>
    </row>
    <row r="969" spans="2:5" x14ac:dyDescent="0.25">
      <c r="B969" t="s">
        <v>83</v>
      </c>
      <c r="C969" t="s">
        <v>1466</v>
      </c>
      <c r="D969" t="s">
        <v>1467</v>
      </c>
      <c r="E969">
        <v>0</v>
      </c>
    </row>
    <row r="970" spans="2:5" x14ac:dyDescent="0.25">
      <c r="B970" t="s">
        <v>83</v>
      </c>
      <c r="C970" t="s">
        <v>1468</v>
      </c>
      <c r="D970" t="s">
        <v>1469</v>
      </c>
      <c r="E970">
        <v>0</v>
      </c>
    </row>
    <row r="971" spans="2:5" x14ac:dyDescent="0.25">
      <c r="B971" t="s">
        <v>11</v>
      </c>
      <c r="C971" t="s">
        <v>1324</v>
      </c>
      <c r="D971" t="s">
        <v>1325</v>
      </c>
      <c r="E971">
        <v>0</v>
      </c>
    </row>
    <row r="972" spans="2:5" x14ac:dyDescent="0.25">
      <c r="B972" t="s">
        <v>80</v>
      </c>
      <c r="C972" t="s">
        <v>1470</v>
      </c>
      <c r="D972" t="s">
        <v>1471</v>
      </c>
      <c r="E972">
        <v>180</v>
      </c>
    </row>
    <row r="973" spans="2:5" x14ac:dyDescent="0.25">
      <c r="B973" t="s">
        <v>28</v>
      </c>
      <c r="C973" t="s">
        <v>1472</v>
      </c>
      <c r="D973" t="s">
        <v>1473</v>
      </c>
      <c r="E973">
        <v>900</v>
      </c>
    </row>
    <row r="974" spans="2:5" x14ac:dyDescent="0.25">
      <c r="B974" t="s">
        <v>80</v>
      </c>
      <c r="C974" t="s">
        <v>1474</v>
      </c>
      <c r="D974" t="s">
        <v>1475</v>
      </c>
      <c r="E974">
        <v>78</v>
      </c>
    </row>
    <row r="975" spans="2:5" x14ac:dyDescent="0.25">
      <c r="B975" t="s">
        <v>1249</v>
      </c>
      <c r="C975" t="s">
        <v>1476</v>
      </c>
      <c r="D975" t="s">
        <v>1477</v>
      </c>
      <c r="E975">
        <v>0</v>
      </c>
    </row>
    <row r="976" spans="2:5" x14ac:dyDescent="0.25">
      <c r="B976" t="s">
        <v>14</v>
      </c>
      <c r="C976" t="s">
        <v>1010</v>
      </c>
      <c r="D976" t="s">
        <v>1011</v>
      </c>
      <c r="E976">
        <v>0</v>
      </c>
    </row>
    <row r="977" spans="2:5" x14ac:dyDescent="0.25">
      <c r="B977" t="s">
        <v>551</v>
      </c>
      <c r="C977" t="s">
        <v>552</v>
      </c>
      <c r="D977" t="s">
        <v>553</v>
      </c>
      <c r="E977">
        <v>4000</v>
      </c>
    </row>
    <row r="978" spans="2:5" x14ac:dyDescent="0.25">
      <c r="B978" t="s">
        <v>148</v>
      </c>
      <c r="C978" t="s">
        <v>1045</v>
      </c>
      <c r="D978" t="s">
        <v>1046</v>
      </c>
      <c r="E978">
        <v>0</v>
      </c>
    </row>
    <row r="979" spans="2:5" x14ac:dyDescent="0.25">
      <c r="B979" t="s">
        <v>20</v>
      </c>
      <c r="C979" t="s">
        <v>1478</v>
      </c>
      <c r="D979" t="s">
        <v>1479</v>
      </c>
      <c r="E979">
        <v>0</v>
      </c>
    </row>
    <row r="980" spans="2:5" x14ac:dyDescent="0.25">
      <c r="B980" t="s">
        <v>52</v>
      </c>
      <c r="C980" t="s">
        <v>1480</v>
      </c>
      <c r="D980" t="s">
        <v>1481</v>
      </c>
      <c r="E980">
        <v>0</v>
      </c>
    </row>
    <row r="981" spans="2:5" x14ac:dyDescent="0.25">
      <c r="B981" t="s">
        <v>52</v>
      </c>
      <c r="C981" t="s">
        <v>1482</v>
      </c>
      <c r="D981" t="s">
        <v>1483</v>
      </c>
      <c r="E981">
        <v>0</v>
      </c>
    </row>
    <row r="982" spans="2:5" x14ac:dyDescent="0.25">
      <c r="B982" t="s">
        <v>195</v>
      </c>
      <c r="C982" t="s">
        <v>1047</v>
      </c>
      <c r="D982" t="s">
        <v>1048</v>
      </c>
      <c r="E982">
        <v>30</v>
      </c>
    </row>
    <row r="983" spans="2:5" x14ac:dyDescent="0.25">
      <c r="B983" t="s">
        <v>131</v>
      </c>
      <c r="C983" t="s">
        <v>1484</v>
      </c>
      <c r="D983" t="s">
        <v>1485</v>
      </c>
      <c r="E983">
        <v>0</v>
      </c>
    </row>
    <row r="984" spans="2:5" x14ac:dyDescent="0.25">
      <c r="B984" t="s">
        <v>521</v>
      </c>
      <c r="C984" t="s">
        <v>1486</v>
      </c>
      <c r="D984" t="s">
        <v>1487</v>
      </c>
      <c r="E984">
        <v>0</v>
      </c>
    </row>
    <row r="985" spans="2:5" x14ac:dyDescent="0.25">
      <c r="B985" t="s">
        <v>521</v>
      </c>
      <c r="C985" t="s">
        <v>1488</v>
      </c>
      <c r="D985" t="s">
        <v>1489</v>
      </c>
      <c r="E985">
        <v>0</v>
      </c>
    </row>
    <row r="986" spans="2:5" x14ac:dyDescent="0.25">
      <c r="B986" t="s">
        <v>203</v>
      </c>
      <c r="C986" t="s">
        <v>1490</v>
      </c>
      <c r="D986" t="s">
        <v>1491</v>
      </c>
      <c r="E986">
        <v>0</v>
      </c>
    </row>
    <row r="987" spans="2:5" x14ac:dyDescent="0.25">
      <c r="B987" t="s">
        <v>140</v>
      </c>
      <c r="C987" t="s">
        <v>570</v>
      </c>
      <c r="D987" t="s">
        <v>571</v>
      </c>
      <c r="E987">
        <v>160</v>
      </c>
    </row>
    <row r="988" spans="2:5" x14ac:dyDescent="0.25">
      <c r="B988" t="s">
        <v>195</v>
      </c>
      <c r="C988" t="s">
        <v>1492</v>
      </c>
      <c r="D988" t="s">
        <v>1493</v>
      </c>
      <c r="E988">
        <v>0</v>
      </c>
    </row>
    <row r="989" spans="2:5" x14ac:dyDescent="0.25">
      <c r="B989" t="s">
        <v>217</v>
      </c>
      <c r="C989" t="s">
        <v>1264</v>
      </c>
      <c r="D989" t="s">
        <v>1265</v>
      </c>
      <c r="E989">
        <v>0</v>
      </c>
    </row>
    <row r="990" spans="2:5" x14ac:dyDescent="0.25">
      <c r="B990" t="s">
        <v>145</v>
      </c>
      <c r="C990" t="s">
        <v>490</v>
      </c>
      <c r="D990" t="s">
        <v>491</v>
      </c>
      <c r="E990">
        <v>0</v>
      </c>
    </row>
    <row r="991" spans="2:5" x14ac:dyDescent="0.25">
      <c r="B991" t="s">
        <v>1494</v>
      </c>
      <c r="C991" t="s">
        <v>1495</v>
      </c>
      <c r="D991" t="s">
        <v>1496</v>
      </c>
      <c r="E991">
        <v>0</v>
      </c>
    </row>
    <row r="992" spans="2:5" x14ac:dyDescent="0.25">
      <c r="B992" t="s">
        <v>250</v>
      </c>
      <c r="C992" t="s">
        <v>1497</v>
      </c>
      <c r="D992" t="s">
        <v>1498</v>
      </c>
      <c r="E992">
        <v>0</v>
      </c>
    </row>
    <row r="993" spans="2:5" x14ac:dyDescent="0.25">
      <c r="B993" t="s">
        <v>214</v>
      </c>
      <c r="C993" t="s">
        <v>1499</v>
      </c>
      <c r="D993" t="s">
        <v>1500</v>
      </c>
      <c r="E993">
        <v>0</v>
      </c>
    </row>
    <row r="994" spans="2:5" x14ac:dyDescent="0.25">
      <c r="B994" t="s">
        <v>25</v>
      </c>
      <c r="C994" t="s">
        <v>470</v>
      </c>
      <c r="D994" t="s">
        <v>471</v>
      </c>
      <c r="E994">
        <v>3</v>
      </c>
    </row>
    <row r="995" spans="2:5" x14ac:dyDescent="0.25">
      <c r="B995" t="s">
        <v>80</v>
      </c>
      <c r="C995" t="s">
        <v>572</v>
      </c>
      <c r="D995" t="s">
        <v>573</v>
      </c>
      <c r="E995">
        <v>0</v>
      </c>
    </row>
    <row r="996" spans="2:5" x14ac:dyDescent="0.25">
      <c r="B996" t="s">
        <v>11</v>
      </c>
      <c r="C996" t="s">
        <v>1326</v>
      </c>
      <c r="D996" t="s">
        <v>1327</v>
      </c>
      <c r="E996">
        <v>0</v>
      </c>
    </row>
    <row r="997" spans="2:5" x14ac:dyDescent="0.25">
      <c r="B997" t="s">
        <v>250</v>
      </c>
      <c r="C997" t="s">
        <v>1497</v>
      </c>
      <c r="D997" t="s">
        <v>1498</v>
      </c>
      <c r="E997">
        <v>0</v>
      </c>
    </row>
    <row r="998" spans="2:5" x14ac:dyDescent="0.25">
      <c r="B998" t="s">
        <v>14</v>
      </c>
      <c r="C998" t="s">
        <v>1012</v>
      </c>
      <c r="D998" t="s">
        <v>1013</v>
      </c>
      <c r="E998">
        <v>0</v>
      </c>
    </row>
    <row r="999" spans="2:5" x14ac:dyDescent="0.25">
      <c r="B999" t="s">
        <v>1494</v>
      </c>
      <c r="C999" t="s">
        <v>1495</v>
      </c>
      <c r="D999" t="s">
        <v>1496</v>
      </c>
      <c r="E999">
        <v>2750</v>
      </c>
    </row>
    <row r="1000" spans="2:5" x14ac:dyDescent="0.25">
      <c r="B1000" t="s">
        <v>272</v>
      </c>
      <c r="C1000" t="s">
        <v>574</v>
      </c>
      <c r="D1000" t="s">
        <v>575</v>
      </c>
      <c r="E1000">
        <v>0</v>
      </c>
    </row>
    <row r="1001" spans="2:5" x14ac:dyDescent="0.25">
      <c r="B1001" t="s">
        <v>120</v>
      </c>
      <c r="C1001" t="s">
        <v>1014</v>
      </c>
      <c r="D1001" t="s">
        <v>1015</v>
      </c>
      <c r="E1001">
        <v>412</v>
      </c>
    </row>
    <row r="1002" spans="2:5" x14ac:dyDescent="0.25">
      <c r="B1002" t="s">
        <v>73</v>
      </c>
      <c r="C1002" t="s">
        <v>1438</v>
      </c>
      <c r="D1002" t="s">
        <v>1439</v>
      </c>
      <c r="E1002">
        <v>0</v>
      </c>
    </row>
    <row r="1003" spans="2:5" x14ac:dyDescent="0.25">
      <c r="B1003" t="s">
        <v>860</v>
      </c>
      <c r="C1003" t="s">
        <v>1440</v>
      </c>
      <c r="D1003" t="s">
        <v>1441</v>
      </c>
      <c r="E1003">
        <v>0</v>
      </c>
    </row>
    <row r="1004" spans="2:5" x14ac:dyDescent="0.25">
      <c r="B1004" t="s">
        <v>73</v>
      </c>
      <c r="C1004" t="s">
        <v>1442</v>
      </c>
      <c r="D1004" t="s">
        <v>1443</v>
      </c>
      <c r="E1004">
        <v>0</v>
      </c>
    </row>
    <row r="1005" spans="2:5" x14ac:dyDescent="0.25">
      <c r="B1005" t="s">
        <v>73</v>
      </c>
      <c r="C1005" t="s">
        <v>1444</v>
      </c>
      <c r="D1005" t="s">
        <v>1445</v>
      </c>
      <c r="E1005">
        <v>0</v>
      </c>
    </row>
    <row r="1006" spans="2:5" x14ac:dyDescent="0.25">
      <c r="B1006" t="s">
        <v>352</v>
      </c>
      <c r="C1006" t="s">
        <v>1446</v>
      </c>
      <c r="D1006" t="s">
        <v>1447</v>
      </c>
      <c r="E1006">
        <v>0</v>
      </c>
    </row>
    <row r="1007" spans="2:5" x14ac:dyDescent="0.25">
      <c r="B1007" t="s">
        <v>352</v>
      </c>
      <c r="C1007" t="s">
        <v>1448</v>
      </c>
      <c r="D1007" t="s">
        <v>1449</v>
      </c>
      <c r="E1007">
        <v>0</v>
      </c>
    </row>
    <row r="1008" spans="2:5" x14ac:dyDescent="0.25">
      <c r="B1008" t="s">
        <v>352</v>
      </c>
      <c r="C1008" t="s">
        <v>1450</v>
      </c>
      <c r="D1008" t="s">
        <v>1451</v>
      </c>
      <c r="E1008">
        <v>0</v>
      </c>
    </row>
    <row r="1009" spans="2:5" x14ac:dyDescent="0.25">
      <c r="B1009" t="s">
        <v>1452</v>
      </c>
      <c r="C1009" t="s">
        <v>1453</v>
      </c>
      <c r="D1009" t="s">
        <v>1454</v>
      </c>
      <c r="E1009">
        <v>0</v>
      </c>
    </row>
    <row r="1010" spans="2:5" x14ac:dyDescent="0.25">
      <c r="B1010" t="s">
        <v>687</v>
      </c>
      <c r="C1010" t="s">
        <v>688</v>
      </c>
      <c r="D1010" t="s">
        <v>689</v>
      </c>
      <c r="E1010">
        <v>0</v>
      </c>
    </row>
    <row r="1011" spans="2:5" x14ac:dyDescent="0.25">
      <c r="B1011" t="s">
        <v>770</v>
      </c>
      <c r="C1011" t="s">
        <v>1501</v>
      </c>
      <c r="D1011" t="s">
        <v>1502</v>
      </c>
      <c r="E1011">
        <v>78</v>
      </c>
    </row>
    <row r="1012" spans="2:5" x14ac:dyDescent="0.25">
      <c r="B1012" t="s">
        <v>83</v>
      </c>
      <c r="C1012" t="s">
        <v>1503</v>
      </c>
      <c r="D1012" t="s">
        <v>1504</v>
      </c>
      <c r="E1012">
        <v>0</v>
      </c>
    </row>
    <row r="1013" spans="2:5" x14ac:dyDescent="0.25">
      <c r="B1013" t="s">
        <v>217</v>
      </c>
      <c r="C1013" t="s">
        <v>1163</v>
      </c>
      <c r="D1013" t="s">
        <v>1164</v>
      </c>
      <c r="E1013">
        <v>0</v>
      </c>
    </row>
    <row r="1014" spans="2:5" x14ac:dyDescent="0.25">
      <c r="B1014" t="s">
        <v>58</v>
      </c>
      <c r="C1014" t="s">
        <v>759</v>
      </c>
      <c r="D1014" t="s">
        <v>760</v>
      </c>
      <c r="E1014">
        <v>0</v>
      </c>
    </row>
    <row r="1015" spans="2:5" x14ac:dyDescent="0.25">
      <c r="B1015" t="s">
        <v>546</v>
      </c>
      <c r="C1015" t="s">
        <v>1505</v>
      </c>
      <c r="D1015" t="s">
        <v>1506</v>
      </c>
      <c r="E1015">
        <v>0</v>
      </c>
    </row>
    <row r="1016" spans="2:5" x14ac:dyDescent="0.25">
      <c r="B1016" t="s">
        <v>61</v>
      </c>
      <c r="C1016" t="s">
        <v>1507</v>
      </c>
      <c r="D1016" t="s">
        <v>1508</v>
      </c>
      <c r="E1016">
        <v>0</v>
      </c>
    </row>
    <row r="1017" spans="2:5" x14ac:dyDescent="0.25">
      <c r="B1017" t="s">
        <v>203</v>
      </c>
      <c r="C1017" t="s">
        <v>1509</v>
      </c>
      <c r="D1017" t="s">
        <v>1510</v>
      </c>
      <c r="E1017">
        <v>0</v>
      </c>
    </row>
    <row r="1018" spans="2:5" x14ac:dyDescent="0.25">
      <c r="B1018" t="s">
        <v>52</v>
      </c>
      <c r="C1018" t="s">
        <v>1511</v>
      </c>
      <c r="D1018" t="s">
        <v>1512</v>
      </c>
      <c r="E1018">
        <v>0</v>
      </c>
    </row>
    <row r="1019" spans="2:5" x14ac:dyDescent="0.25">
      <c r="B1019" t="s">
        <v>52</v>
      </c>
      <c r="C1019" t="s">
        <v>1513</v>
      </c>
      <c r="D1019" t="s">
        <v>1514</v>
      </c>
      <c r="E1019">
        <v>0</v>
      </c>
    </row>
    <row r="1020" spans="2:5" x14ac:dyDescent="0.25">
      <c r="B1020" t="s">
        <v>521</v>
      </c>
      <c r="C1020" t="s">
        <v>1515</v>
      </c>
      <c r="D1020" t="s">
        <v>1516</v>
      </c>
      <c r="E1020">
        <v>0</v>
      </c>
    </row>
    <row r="1021" spans="2:5" x14ac:dyDescent="0.25">
      <c r="B1021" t="s">
        <v>125</v>
      </c>
      <c r="C1021" t="s">
        <v>710</v>
      </c>
      <c r="D1021" t="s">
        <v>711</v>
      </c>
      <c r="E1021">
        <v>0</v>
      </c>
    </row>
    <row r="1022" spans="2:5" x14ac:dyDescent="0.25">
      <c r="B1022" t="s">
        <v>11</v>
      </c>
      <c r="C1022" t="s">
        <v>1388</v>
      </c>
      <c r="D1022" t="s">
        <v>1389</v>
      </c>
      <c r="E1022">
        <v>0</v>
      </c>
    </row>
    <row r="1023" spans="2:5" x14ac:dyDescent="0.25">
      <c r="B1023" t="s">
        <v>14</v>
      </c>
      <c r="C1023" t="s">
        <v>1517</v>
      </c>
      <c r="D1023" t="s">
        <v>1518</v>
      </c>
      <c r="E1023">
        <v>0</v>
      </c>
    </row>
    <row r="1024" spans="2:5" x14ac:dyDescent="0.25">
      <c r="B1024" t="s">
        <v>8</v>
      </c>
      <c r="C1024" t="s">
        <v>605</v>
      </c>
      <c r="D1024" t="s">
        <v>606</v>
      </c>
      <c r="E1024">
        <v>0</v>
      </c>
    </row>
    <row r="1025" spans="2:5" x14ac:dyDescent="0.25">
      <c r="B1025" t="s">
        <v>83</v>
      </c>
      <c r="C1025" t="s">
        <v>692</v>
      </c>
      <c r="D1025" t="s">
        <v>693</v>
      </c>
      <c r="E1025">
        <v>0</v>
      </c>
    </row>
    <row r="1026" spans="2:5" x14ac:dyDescent="0.25">
      <c r="B1026" t="s">
        <v>28</v>
      </c>
      <c r="C1026" t="s">
        <v>1394</v>
      </c>
      <c r="D1026" t="s">
        <v>1395</v>
      </c>
      <c r="E1026">
        <v>0</v>
      </c>
    </row>
    <row r="1027" spans="2:5" x14ac:dyDescent="0.25">
      <c r="B1027" t="s">
        <v>217</v>
      </c>
      <c r="C1027" t="s">
        <v>1090</v>
      </c>
      <c r="D1027" t="s">
        <v>1091</v>
      </c>
      <c r="E1027">
        <v>420</v>
      </c>
    </row>
    <row r="1028" spans="2:5" x14ac:dyDescent="0.25">
      <c r="B1028" t="s">
        <v>151</v>
      </c>
      <c r="C1028" t="s">
        <v>1092</v>
      </c>
      <c r="D1028" t="s">
        <v>1093</v>
      </c>
      <c r="E1028">
        <v>0</v>
      </c>
    </row>
    <row r="1029" spans="2:5" x14ac:dyDescent="0.25">
      <c r="B1029" t="s">
        <v>352</v>
      </c>
      <c r="C1029" t="s">
        <v>1241</v>
      </c>
      <c r="D1029" t="s">
        <v>1242</v>
      </c>
      <c r="E1029">
        <v>0</v>
      </c>
    </row>
    <row r="1030" spans="2:5" x14ac:dyDescent="0.25">
      <c r="B1030" t="s">
        <v>352</v>
      </c>
      <c r="C1030" t="s">
        <v>1243</v>
      </c>
      <c r="D1030" t="s">
        <v>1244</v>
      </c>
      <c r="E1030">
        <v>0</v>
      </c>
    </row>
    <row r="1031" spans="2:5" x14ac:dyDescent="0.25">
      <c r="B1031" t="s">
        <v>546</v>
      </c>
      <c r="C1031" t="s">
        <v>1245</v>
      </c>
      <c r="D1031" t="s">
        <v>1246</v>
      </c>
      <c r="E1031">
        <v>0</v>
      </c>
    </row>
    <row r="1032" spans="2:5" x14ac:dyDescent="0.25">
      <c r="B1032" t="s">
        <v>217</v>
      </c>
      <c r="C1032" t="s">
        <v>1247</v>
      </c>
      <c r="D1032" t="s">
        <v>1248</v>
      </c>
      <c r="E1032">
        <v>0</v>
      </c>
    </row>
    <row r="1033" spans="2:5" x14ac:dyDescent="0.25">
      <c r="B1033" t="s">
        <v>1249</v>
      </c>
      <c r="C1033" t="s">
        <v>1250</v>
      </c>
      <c r="D1033" t="s">
        <v>1251</v>
      </c>
      <c r="E1033">
        <v>0</v>
      </c>
    </row>
    <row r="1034" spans="2:5" x14ac:dyDescent="0.25">
      <c r="B1034" t="s">
        <v>109</v>
      </c>
      <c r="C1034" t="s">
        <v>1252</v>
      </c>
      <c r="D1034" t="s">
        <v>1253</v>
      </c>
      <c r="E1034">
        <v>0</v>
      </c>
    </row>
    <row r="1035" spans="2:5" x14ac:dyDescent="0.25">
      <c r="B1035" t="s">
        <v>1129</v>
      </c>
      <c r="C1035" t="s">
        <v>1254</v>
      </c>
      <c r="D1035" t="s">
        <v>1255</v>
      </c>
      <c r="E1035">
        <v>559</v>
      </c>
    </row>
    <row r="1036" spans="2:5" x14ac:dyDescent="0.25">
      <c r="B1036" t="s">
        <v>623</v>
      </c>
      <c r="C1036" t="s">
        <v>871</v>
      </c>
      <c r="D1036" t="s">
        <v>872</v>
      </c>
      <c r="E1036">
        <v>0</v>
      </c>
    </row>
    <row r="1037" spans="2:5" x14ac:dyDescent="0.25">
      <c r="B1037" t="s">
        <v>52</v>
      </c>
      <c r="C1037" t="s">
        <v>1256</v>
      </c>
      <c r="D1037" t="s">
        <v>1257</v>
      </c>
      <c r="E1037">
        <v>0</v>
      </c>
    </row>
    <row r="1038" spans="2:5" x14ac:dyDescent="0.25">
      <c r="B1038" t="s">
        <v>521</v>
      </c>
      <c r="C1038" t="s">
        <v>1258</v>
      </c>
      <c r="D1038" t="s">
        <v>1259</v>
      </c>
      <c r="E1038">
        <v>0</v>
      </c>
    </row>
    <row r="1039" spans="2:5" x14ac:dyDescent="0.25">
      <c r="B1039" t="s">
        <v>203</v>
      </c>
      <c r="C1039" t="s">
        <v>1260</v>
      </c>
      <c r="D1039" t="s">
        <v>1261</v>
      </c>
      <c r="E1039">
        <v>0</v>
      </c>
    </row>
    <row r="1040" spans="2:5" x14ac:dyDescent="0.25">
      <c r="B1040" t="s">
        <v>546</v>
      </c>
      <c r="C1040" t="s">
        <v>1262</v>
      </c>
      <c r="D1040" t="s">
        <v>1263</v>
      </c>
      <c r="E1040">
        <v>455</v>
      </c>
    </row>
    <row r="1041" spans="2:5" x14ac:dyDescent="0.25">
      <c r="B1041" t="s">
        <v>352</v>
      </c>
      <c r="C1041" t="s">
        <v>1194</v>
      </c>
      <c r="D1041" t="s">
        <v>1195</v>
      </c>
      <c r="E1041">
        <v>0</v>
      </c>
    </row>
    <row r="1042" spans="2:5" x14ac:dyDescent="0.25">
      <c r="B1042" t="s">
        <v>551</v>
      </c>
      <c r="C1042" t="s">
        <v>1216</v>
      </c>
      <c r="D1042" t="s">
        <v>1217</v>
      </c>
      <c r="E1042">
        <v>0</v>
      </c>
    </row>
    <row r="1043" spans="2:5" x14ac:dyDescent="0.25">
      <c r="B1043" t="s">
        <v>8</v>
      </c>
      <c r="C1043" t="s">
        <v>302</v>
      </c>
      <c r="D1043" t="s">
        <v>303</v>
      </c>
      <c r="E1043">
        <v>0</v>
      </c>
    </row>
    <row r="1044" spans="2:5" x14ac:dyDescent="0.25">
      <c r="B1044" t="s">
        <v>28</v>
      </c>
      <c r="C1044" t="s">
        <v>29</v>
      </c>
      <c r="D1044" t="s">
        <v>30</v>
      </c>
      <c r="E1044">
        <v>0</v>
      </c>
    </row>
    <row r="1045" spans="2:5" x14ac:dyDescent="0.25">
      <c r="B1045" t="s">
        <v>31</v>
      </c>
      <c r="C1045" t="s">
        <v>32</v>
      </c>
      <c r="D1045" t="s">
        <v>33</v>
      </c>
      <c r="E1045">
        <v>0</v>
      </c>
    </row>
    <row r="1046" spans="2:5" x14ac:dyDescent="0.25">
      <c r="B1046" t="s">
        <v>34</v>
      </c>
      <c r="C1046" t="s">
        <v>35</v>
      </c>
      <c r="D1046" t="s">
        <v>36</v>
      </c>
      <c r="E1046">
        <v>0</v>
      </c>
    </row>
    <row r="1047" spans="2:5" x14ac:dyDescent="0.25">
      <c r="B1047" t="s">
        <v>37</v>
      </c>
      <c r="C1047" t="s">
        <v>38</v>
      </c>
      <c r="D1047" t="s">
        <v>39</v>
      </c>
      <c r="E1047">
        <v>0</v>
      </c>
    </row>
    <row r="1048" spans="2:5" x14ac:dyDescent="0.25">
      <c r="B1048" t="s">
        <v>40</v>
      </c>
      <c r="C1048" t="s">
        <v>41</v>
      </c>
      <c r="D1048" t="s">
        <v>42</v>
      </c>
      <c r="E1048">
        <v>2495</v>
      </c>
    </row>
    <row r="1049" spans="2:5" x14ac:dyDescent="0.25">
      <c r="B1049" t="s">
        <v>40</v>
      </c>
      <c r="C1049" t="s">
        <v>41</v>
      </c>
      <c r="D1049" t="s">
        <v>42</v>
      </c>
      <c r="E1049">
        <v>0</v>
      </c>
    </row>
    <row r="1050" spans="2:5" x14ac:dyDescent="0.25">
      <c r="B1050" t="s">
        <v>14</v>
      </c>
      <c r="C1050" t="s">
        <v>43</v>
      </c>
      <c r="D1050" t="s">
        <v>44</v>
      </c>
      <c r="E1050">
        <v>0</v>
      </c>
    </row>
    <row r="1051" spans="2:5" x14ac:dyDescent="0.25">
      <c r="B1051" t="s">
        <v>14</v>
      </c>
      <c r="C1051" t="s">
        <v>45</v>
      </c>
      <c r="D1051" t="s">
        <v>46</v>
      </c>
      <c r="E1051">
        <v>0</v>
      </c>
    </row>
    <row r="1052" spans="2:5" x14ac:dyDescent="0.25">
      <c r="B1052" t="s">
        <v>14</v>
      </c>
      <c r="C1052" t="s">
        <v>45</v>
      </c>
      <c r="D1052" t="s">
        <v>46</v>
      </c>
      <c r="E1052">
        <v>0</v>
      </c>
    </row>
    <row r="1053" spans="2:5" x14ac:dyDescent="0.25">
      <c r="B1053" t="s">
        <v>40</v>
      </c>
      <c r="C1053" t="s">
        <v>41</v>
      </c>
      <c r="D1053" t="s">
        <v>42</v>
      </c>
      <c r="E1053">
        <v>2</v>
      </c>
    </row>
    <row r="1054" spans="2:5" x14ac:dyDescent="0.25">
      <c r="B1054" t="s">
        <v>25</v>
      </c>
      <c r="C1054" t="s">
        <v>286</v>
      </c>
      <c r="D1054" t="s">
        <v>287</v>
      </c>
      <c r="E1054">
        <v>200</v>
      </c>
    </row>
    <row r="1055" spans="2:5" x14ac:dyDescent="0.25">
      <c r="B1055" t="s">
        <v>585</v>
      </c>
      <c r="C1055" t="s">
        <v>1587</v>
      </c>
      <c r="D1055" t="s">
        <v>1588</v>
      </c>
      <c r="E1055">
        <v>0</v>
      </c>
    </row>
    <row r="1056" spans="2:5" x14ac:dyDescent="0.25">
      <c r="B1056" t="s">
        <v>164</v>
      </c>
      <c r="C1056" t="s">
        <v>1589</v>
      </c>
      <c r="D1056" t="s">
        <v>1590</v>
      </c>
      <c r="E1056">
        <v>0</v>
      </c>
    </row>
    <row r="1057" spans="2:5" x14ac:dyDescent="0.25">
      <c r="B1057" t="s">
        <v>1571</v>
      </c>
      <c r="C1057" t="s">
        <v>1591</v>
      </c>
      <c r="D1057" t="s">
        <v>1592</v>
      </c>
      <c r="E1057">
        <v>0</v>
      </c>
    </row>
    <row r="1058" spans="2:5" x14ac:dyDescent="0.25">
      <c r="B1058" t="s">
        <v>164</v>
      </c>
      <c r="C1058" t="s">
        <v>1593</v>
      </c>
      <c r="D1058" t="s">
        <v>1594</v>
      </c>
      <c r="E1058">
        <v>0</v>
      </c>
    </row>
    <row r="1059" spans="2:5" x14ac:dyDescent="0.25">
      <c r="B1059" t="s">
        <v>164</v>
      </c>
      <c r="C1059" t="s">
        <v>1593</v>
      </c>
      <c r="D1059" t="s">
        <v>1594</v>
      </c>
      <c r="E1059">
        <v>0</v>
      </c>
    </row>
    <row r="1060" spans="2:5" x14ac:dyDescent="0.25">
      <c r="B1060" t="s">
        <v>14</v>
      </c>
      <c r="C1060" t="s">
        <v>47</v>
      </c>
      <c r="D1060" t="s">
        <v>48</v>
      </c>
      <c r="E1060">
        <v>0</v>
      </c>
    </row>
    <row r="1061" spans="2:5" x14ac:dyDescent="0.25">
      <c r="B1061" t="s">
        <v>49</v>
      </c>
      <c r="C1061" t="s">
        <v>50</v>
      </c>
      <c r="D1061" t="s">
        <v>51</v>
      </c>
      <c r="E1061">
        <v>0</v>
      </c>
    </row>
    <row r="1062" spans="2:5" x14ac:dyDescent="0.25">
      <c r="B1062" t="s">
        <v>52</v>
      </c>
      <c r="C1062" t="s">
        <v>53</v>
      </c>
      <c r="D1062" t="s">
        <v>54</v>
      </c>
      <c r="E1062">
        <v>0</v>
      </c>
    </row>
    <row r="1063" spans="2:5" x14ac:dyDescent="0.25">
      <c r="B1063" t="s">
        <v>55</v>
      </c>
      <c r="C1063" t="s">
        <v>56</v>
      </c>
      <c r="D1063" t="s">
        <v>57</v>
      </c>
      <c r="E1063">
        <v>5</v>
      </c>
    </row>
    <row r="1064" spans="2:5" x14ac:dyDescent="0.25">
      <c r="B1064" t="s">
        <v>55</v>
      </c>
      <c r="C1064" t="s">
        <v>56</v>
      </c>
      <c r="D1064" t="s">
        <v>57</v>
      </c>
      <c r="E1064">
        <v>0</v>
      </c>
    </row>
    <row r="1065" spans="2:5" x14ac:dyDescent="0.25">
      <c r="B1065" t="s">
        <v>58</v>
      </c>
      <c r="C1065" t="s">
        <v>59</v>
      </c>
      <c r="D1065" t="s">
        <v>60</v>
      </c>
      <c r="E1065">
        <v>0</v>
      </c>
    </row>
    <row r="1066" spans="2:5" x14ac:dyDescent="0.25">
      <c r="B1066" t="s">
        <v>61</v>
      </c>
      <c r="C1066" t="s">
        <v>62</v>
      </c>
      <c r="D1066" t="s">
        <v>63</v>
      </c>
      <c r="E1066">
        <v>0</v>
      </c>
    </row>
    <row r="1067" spans="2:5" x14ac:dyDescent="0.25">
      <c r="B1067" t="s">
        <v>64</v>
      </c>
      <c r="C1067" t="s">
        <v>65</v>
      </c>
      <c r="D1067" t="s">
        <v>66</v>
      </c>
      <c r="E1067">
        <v>0</v>
      </c>
    </row>
    <row r="1068" spans="2:5" x14ac:dyDescent="0.25">
      <c r="B1068" t="s">
        <v>67</v>
      </c>
      <c r="C1068" t="s">
        <v>68</v>
      </c>
      <c r="D1068" t="s">
        <v>69</v>
      </c>
      <c r="E1068">
        <v>0</v>
      </c>
    </row>
    <row r="1069" spans="2:5" x14ac:dyDescent="0.25">
      <c r="B1069" t="s">
        <v>70</v>
      </c>
      <c r="C1069" t="s">
        <v>71</v>
      </c>
      <c r="D1069" t="s">
        <v>72</v>
      </c>
      <c r="E1069">
        <v>0</v>
      </c>
    </row>
    <row r="1070" spans="2:5" x14ac:dyDescent="0.25">
      <c r="B1070" t="s">
        <v>73</v>
      </c>
      <c r="C1070" t="s">
        <v>74</v>
      </c>
      <c r="D1070" t="s">
        <v>75</v>
      </c>
      <c r="E1070">
        <v>0</v>
      </c>
    </row>
    <row r="1071" spans="2:5" x14ac:dyDescent="0.25">
      <c r="B1071" t="s">
        <v>73</v>
      </c>
      <c r="C1071" t="s">
        <v>76</v>
      </c>
      <c r="D1071" t="s">
        <v>77</v>
      </c>
      <c r="E1071">
        <v>0</v>
      </c>
    </row>
    <row r="1072" spans="2:5" x14ac:dyDescent="0.25">
      <c r="B1072" t="s">
        <v>11</v>
      </c>
      <c r="C1072" t="s">
        <v>78</v>
      </c>
      <c r="D1072" t="s">
        <v>79</v>
      </c>
      <c r="E1072">
        <v>40</v>
      </c>
    </row>
    <row r="1073" spans="2:5" x14ac:dyDescent="0.25">
      <c r="B1073" t="s">
        <v>80</v>
      </c>
      <c r="C1073" t="s">
        <v>81</v>
      </c>
      <c r="D1073" t="s">
        <v>82</v>
      </c>
      <c r="E1073">
        <v>0</v>
      </c>
    </row>
    <row r="1074" spans="2:5" x14ac:dyDescent="0.25">
      <c r="B1074" t="s">
        <v>83</v>
      </c>
      <c r="C1074" t="s">
        <v>84</v>
      </c>
      <c r="D1074" t="s">
        <v>85</v>
      </c>
      <c r="E1074">
        <v>0</v>
      </c>
    </row>
    <row r="1075" spans="2:5" x14ac:dyDescent="0.25">
      <c r="B1075" t="s">
        <v>86</v>
      </c>
      <c r="C1075" t="s">
        <v>87</v>
      </c>
      <c r="D1075" t="s">
        <v>88</v>
      </c>
      <c r="E1075">
        <v>0</v>
      </c>
    </row>
    <row r="1076" spans="2:5" x14ac:dyDescent="0.25">
      <c r="B1076" t="s">
        <v>86</v>
      </c>
      <c r="C1076" t="s">
        <v>89</v>
      </c>
      <c r="D1076" t="s">
        <v>90</v>
      </c>
      <c r="E1076">
        <v>0</v>
      </c>
    </row>
    <row r="1077" spans="2:5" x14ac:dyDescent="0.25">
      <c r="B1077" t="s">
        <v>91</v>
      </c>
      <c r="C1077" t="s">
        <v>92</v>
      </c>
      <c r="D1077" t="s">
        <v>93</v>
      </c>
      <c r="E1077">
        <v>0</v>
      </c>
    </row>
    <row r="1078" spans="2:5" x14ac:dyDescent="0.25">
      <c r="B1078" t="s">
        <v>55</v>
      </c>
      <c r="C1078" t="s">
        <v>94</v>
      </c>
      <c r="D1078" t="s">
        <v>95</v>
      </c>
      <c r="E1078">
        <v>0</v>
      </c>
    </row>
    <row r="1079" spans="2:5" x14ac:dyDescent="0.25">
      <c r="B1079" t="s">
        <v>55</v>
      </c>
      <c r="C1079" t="s">
        <v>96</v>
      </c>
      <c r="D1079" t="s">
        <v>97</v>
      </c>
      <c r="E1079">
        <v>0</v>
      </c>
    </row>
    <row r="1080" spans="2:5" x14ac:dyDescent="0.25">
      <c r="B1080" t="s">
        <v>55</v>
      </c>
      <c r="C1080" t="s">
        <v>98</v>
      </c>
      <c r="D1080" t="s">
        <v>99</v>
      </c>
      <c r="E1080">
        <v>0</v>
      </c>
    </row>
    <row r="1081" spans="2:5" x14ac:dyDescent="0.25">
      <c r="B1081" t="s">
        <v>8</v>
      </c>
      <c r="C1081" t="s">
        <v>100</v>
      </c>
      <c r="D1081" t="s">
        <v>101</v>
      </c>
      <c r="E1081">
        <v>0</v>
      </c>
    </row>
    <row r="1082" spans="2:5" x14ac:dyDescent="0.25">
      <c r="B1082" t="s">
        <v>40</v>
      </c>
      <c r="C1082" t="s">
        <v>102</v>
      </c>
      <c r="D1082" t="s">
        <v>103</v>
      </c>
      <c r="E1082">
        <v>0</v>
      </c>
    </row>
    <row r="1083" spans="2:5" x14ac:dyDescent="0.25">
      <c r="B1083" t="s">
        <v>14</v>
      </c>
      <c r="C1083" t="s">
        <v>104</v>
      </c>
      <c r="D1083" t="s">
        <v>105</v>
      </c>
      <c r="E1083">
        <v>0</v>
      </c>
    </row>
    <row r="1084" spans="2:5" x14ac:dyDescent="0.25">
      <c r="B1084" t="s">
        <v>106</v>
      </c>
      <c r="C1084" t="s">
        <v>107</v>
      </c>
      <c r="D1084" t="s">
        <v>108</v>
      </c>
      <c r="E1084">
        <v>640</v>
      </c>
    </row>
    <row r="1085" spans="2:5" x14ac:dyDescent="0.25">
      <c r="B1085" t="s">
        <v>109</v>
      </c>
      <c r="C1085" t="s">
        <v>110</v>
      </c>
      <c r="D1085" t="s">
        <v>111</v>
      </c>
      <c r="E1085">
        <v>300</v>
      </c>
    </row>
    <row r="1086" spans="2:5" x14ac:dyDescent="0.25">
      <c r="B1086" t="s">
        <v>14</v>
      </c>
      <c r="C1086" t="s">
        <v>112</v>
      </c>
      <c r="D1086" t="s">
        <v>113</v>
      </c>
      <c r="E1086">
        <v>0</v>
      </c>
    </row>
    <row r="1087" spans="2:5" x14ac:dyDescent="0.25">
      <c r="B1087" t="s">
        <v>114</v>
      </c>
      <c r="C1087" t="s">
        <v>115</v>
      </c>
      <c r="D1087" t="s">
        <v>116</v>
      </c>
      <c r="E1087">
        <v>13875</v>
      </c>
    </row>
    <row r="1088" spans="2:5" x14ac:dyDescent="0.25">
      <c r="B1088" t="s">
        <v>117</v>
      </c>
      <c r="C1088" t="s">
        <v>118</v>
      </c>
      <c r="D1088" t="s">
        <v>119</v>
      </c>
      <c r="E1088">
        <v>0</v>
      </c>
    </row>
    <row r="1089" spans="2:5" x14ac:dyDescent="0.25">
      <c r="B1089" t="s">
        <v>120</v>
      </c>
      <c r="C1089" t="s">
        <v>121</v>
      </c>
      <c r="D1089" t="s">
        <v>122</v>
      </c>
      <c r="E1089">
        <v>180</v>
      </c>
    </row>
    <row r="1090" spans="2:5" x14ac:dyDescent="0.25">
      <c r="B1090" t="s">
        <v>120</v>
      </c>
      <c r="C1090" t="s">
        <v>123</v>
      </c>
      <c r="D1090" t="s">
        <v>124</v>
      </c>
      <c r="E1090">
        <v>33720</v>
      </c>
    </row>
    <row r="1091" spans="2:5" x14ac:dyDescent="0.25">
      <c r="B1091" t="s">
        <v>125</v>
      </c>
      <c r="C1091" t="s">
        <v>126</v>
      </c>
      <c r="D1091" t="s">
        <v>127</v>
      </c>
      <c r="E1091">
        <v>0</v>
      </c>
    </row>
    <row r="1092" spans="2:5" x14ac:dyDescent="0.25">
      <c r="B1092" t="s">
        <v>128</v>
      </c>
      <c r="C1092" t="s">
        <v>129</v>
      </c>
      <c r="D1092" t="s">
        <v>130</v>
      </c>
      <c r="E1092">
        <v>0</v>
      </c>
    </row>
    <row r="1093" spans="2:5" x14ac:dyDescent="0.25">
      <c r="B1093" t="s">
        <v>131</v>
      </c>
      <c r="C1093" t="s">
        <v>132</v>
      </c>
      <c r="D1093" t="s">
        <v>133</v>
      </c>
      <c r="E1093">
        <v>0</v>
      </c>
    </row>
    <row r="1094" spans="2:5" x14ac:dyDescent="0.25">
      <c r="B1094" t="s">
        <v>134</v>
      </c>
      <c r="C1094" t="s">
        <v>135</v>
      </c>
      <c r="D1094" t="s">
        <v>136</v>
      </c>
      <c r="E1094">
        <v>20</v>
      </c>
    </row>
    <row r="1095" spans="2:5" x14ac:dyDescent="0.25">
      <c r="B1095" t="s">
        <v>137</v>
      </c>
      <c r="C1095" t="s">
        <v>138</v>
      </c>
      <c r="D1095" t="s">
        <v>139</v>
      </c>
      <c r="E1095">
        <v>230</v>
      </c>
    </row>
    <row r="1096" spans="2:5" x14ac:dyDescent="0.25">
      <c r="B1096" t="s">
        <v>140</v>
      </c>
      <c r="C1096" t="s">
        <v>141</v>
      </c>
      <c r="D1096" t="s">
        <v>142</v>
      </c>
      <c r="E1096">
        <v>625</v>
      </c>
    </row>
    <row r="1097" spans="2:5" x14ac:dyDescent="0.25">
      <c r="B1097" t="s">
        <v>49</v>
      </c>
      <c r="C1097" t="s">
        <v>50</v>
      </c>
      <c r="D1097" t="s">
        <v>51</v>
      </c>
      <c r="E1097">
        <v>0</v>
      </c>
    </row>
    <row r="1098" spans="2:5" x14ac:dyDescent="0.25">
      <c r="B1098" t="s">
        <v>17</v>
      </c>
      <c r="C1098" t="s">
        <v>143</v>
      </c>
      <c r="D1098" t="s">
        <v>144</v>
      </c>
      <c r="E1098">
        <v>0</v>
      </c>
    </row>
    <row r="1099" spans="2:5" x14ac:dyDescent="0.25">
      <c r="B1099" t="s">
        <v>145</v>
      </c>
      <c r="C1099" t="s">
        <v>146</v>
      </c>
      <c r="D1099" t="s">
        <v>147</v>
      </c>
      <c r="E1099">
        <v>40</v>
      </c>
    </row>
    <row r="1100" spans="2:5" x14ac:dyDescent="0.25">
      <c r="B1100" t="s">
        <v>148</v>
      </c>
      <c r="C1100" t="s">
        <v>149</v>
      </c>
      <c r="D1100" t="s">
        <v>150</v>
      </c>
      <c r="E1100">
        <v>0</v>
      </c>
    </row>
    <row r="1101" spans="2:5" x14ac:dyDescent="0.25">
      <c r="B1101" t="s">
        <v>151</v>
      </c>
      <c r="C1101" t="s">
        <v>152</v>
      </c>
      <c r="D1101" t="s">
        <v>153</v>
      </c>
      <c r="E1101">
        <v>0</v>
      </c>
    </row>
    <row r="1102" spans="2:5" x14ac:dyDescent="0.25">
      <c r="B1102" t="s">
        <v>120</v>
      </c>
      <c r="C1102" t="s">
        <v>154</v>
      </c>
      <c r="D1102" t="s">
        <v>155</v>
      </c>
      <c r="E1102">
        <v>0</v>
      </c>
    </row>
    <row r="1103" spans="2:5" x14ac:dyDescent="0.25">
      <c r="B1103" t="s">
        <v>140</v>
      </c>
      <c r="C1103" t="s">
        <v>141</v>
      </c>
      <c r="D1103" t="s">
        <v>142</v>
      </c>
      <c r="E1103">
        <v>0</v>
      </c>
    </row>
    <row r="1104" spans="2:5" x14ac:dyDescent="0.25">
      <c r="B1104" t="s">
        <v>156</v>
      </c>
      <c r="C1104" t="s">
        <v>157</v>
      </c>
      <c r="D1104" t="s">
        <v>158</v>
      </c>
      <c r="E1104">
        <v>20000</v>
      </c>
    </row>
    <row r="1105" spans="2:5" x14ac:dyDescent="0.25">
      <c r="B1105" t="s">
        <v>61</v>
      </c>
      <c r="C1105" t="s">
        <v>159</v>
      </c>
      <c r="D1105" t="s">
        <v>160</v>
      </c>
      <c r="E1105">
        <v>0</v>
      </c>
    </row>
    <row r="1106" spans="2:5" x14ac:dyDescent="0.25">
      <c r="B1106" t="s">
        <v>250</v>
      </c>
      <c r="C1106" t="s">
        <v>251</v>
      </c>
      <c r="D1106" t="s">
        <v>252</v>
      </c>
      <c r="E1106">
        <v>0</v>
      </c>
    </row>
    <row r="1107" spans="2:5" x14ac:dyDescent="0.25">
      <c r="B1107" t="s">
        <v>161</v>
      </c>
      <c r="C1107" t="s">
        <v>162</v>
      </c>
      <c r="D1107" t="s">
        <v>163</v>
      </c>
      <c r="E1107">
        <v>0</v>
      </c>
    </row>
    <row r="1108" spans="2:5" x14ac:dyDescent="0.25">
      <c r="B1108" t="s">
        <v>164</v>
      </c>
      <c r="C1108" t="s">
        <v>165</v>
      </c>
      <c r="D1108" t="s">
        <v>166</v>
      </c>
      <c r="E1108">
        <v>0</v>
      </c>
    </row>
    <row r="1109" spans="2:5" x14ac:dyDescent="0.25">
      <c r="B1109" t="s">
        <v>164</v>
      </c>
      <c r="C1109" t="s">
        <v>167</v>
      </c>
      <c r="D1109" t="s">
        <v>168</v>
      </c>
      <c r="E1109">
        <v>0</v>
      </c>
    </row>
    <row r="1110" spans="2:5" x14ac:dyDescent="0.25">
      <c r="B1110" t="s">
        <v>164</v>
      </c>
      <c r="C1110" t="s">
        <v>169</v>
      </c>
      <c r="D1110" t="s">
        <v>170</v>
      </c>
      <c r="E1110">
        <v>0</v>
      </c>
    </row>
    <row r="1111" spans="2:5" x14ac:dyDescent="0.25">
      <c r="B1111" t="s">
        <v>8</v>
      </c>
      <c r="C1111" t="s">
        <v>171</v>
      </c>
      <c r="D1111" t="s">
        <v>172</v>
      </c>
      <c r="E1111">
        <v>0</v>
      </c>
    </row>
    <row r="1112" spans="2:5" x14ac:dyDescent="0.25">
      <c r="B1112" t="s">
        <v>20</v>
      </c>
      <c r="C1112" t="s">
        <v>173</v>
      </c>
      <c r="D1112" t="s">
        <v>174</v>
      </c>
      <c r="E1112">
        <v>0</v>
      </c>
    </row>
    <row r="1113" spans="2:5" x14ac:dyDescent="0.25">
      <c r="B1113" t="s">
        <v>175</v>
      </c>
      <c r="C1113" t="s">
        <v>176</v>
      </c>
      <c r="D1113" t="s">
        <v>177</v>
      </c>
      <c r="E1113">
        <v>0</v>
      </c>
    </row>
    <row r="1114" spans="2:5" x14ac:dyDescent="0.25">
      <c r="B1114" t="s">
        <v>175</v>
      </c>
      <c r="C1114" t="s">
        <v>178</v>
      </c>
      <c r="D1114" t="s">
        <v>179</v>
      </c>
      <c r="E1114">
        <v>600</v>
      </c>
    </row>
    <row r="1115" spans="2:5" x14ac:dyDescent="0.25">
      <c r="B1115" t="s">
        <v>120</v>
      </c>
      <c r="C1115" t="s">
        <v>180</v>
      </c>
      <c r="D1115" t="s">
        <v>181</v>
      </c>
      <c r="E1115">
        <v>0</v>
      </c>
    </row>
    <row r="1116" spans="2:5" x14ac:dyDescent="0.25">
      <c r="B1116" t="s">
        <v>120</v>
      </c>
      <c r="C1116" t="s">
        <v>121</v>
      </c>
      <c r="D1116" t="s">
        <v>122</v>
      </c>
      <c r="E1116">
        <v>0</v>
      </c>
    </row>
    <row r="1117" spans="2:5" x14ac:dyDescent="0.25">
      <c r="B1117" t="s">
        <v>114</v>
      </c>
      <c r="C1117" t="s">
        <v>115</v>
      </c>
      <c r="D1117" t="s">
        <v>116</v>
      </c>
      <c r="E1117">
        <v>0</v>
      </c>
    </row>
    <row r="1118" spans="2:5" x14ac:dyDescent="0.25">
      <c r="B1118" t="s">
        <v>164</v>
      </c>
      <c r="C1118" t="s">
        <v>182</v>
      </c>
      <c r="D1118" t="s">
        <v>183</v>
      </c>
      <c r="E1118">
        <v>0</v>
      </c>
    </row>
    <row r="1119" spans="2:5" x14ac:dyDescent="0.25">
      <c r="B1119" t="s">
        <v>164</v>
      </c>
      <c r="C1119" t="s">
        <v>182</v>
      </c>
      <c r="D1119" t="s">
        <v>183</v>
      </c>
      <c r="E1119">
        <v>348.09</v>
      </c>
    </row>
    <row r="1120" spans="2:5" x14ac:dyDescent="0.25">
      <c r="B1120" t="s">
        <v>80</v>
      </c>
      <c r="C1120" t="s">
        <v>184</v>
      </c>
      <c r="D1120" t="s">
        <v>185</v>
      </c>
      <c r="E1120">
        <v>0</v>
      </c>
    </row>
    <row r="1121" spans="2:5" x14ac:dyDescent="0.25">
      <c r="B1121" t="s">
        <v>186</v>
      </c>
      <c r="C1121" t="s">
        <v>187</v>
      </c>
      <c r="D1121" t="s">
        <v>188</v>
      </c>
      <c r="E1121">
        <v>50</v>
      </c>
    </row>
    <row r="1122" spans="2:5" x14ac:dyDescent="0.25">
      <c r="B1122" t="s">
        <v>52</v>
      </c>
      <c r="C1122" t="s">
        <v>189</v>
      </c>
      <c r="D1122" t="s">
        <v>190</v>
      </c>
      <c r="E1122">
        <v>0</v>
      </c>
    </row>
    <row r="1123" spans="2:5" x14ac:dyDescent="0.25">
      <c r="B1123" t="s">
        <v>11</v>
      </c>
      <c r="C1123" t="s">
        <v>191</v>
      </c>
      <c r="D1123" t="s">
        <v>192</v>
      </c>
      <c r="E1123">
        <v>0</v>
      </c>
    </row>
    <row r="1124" spans="2:5" x14ac:dyDescent="0.25">
      <c r="B1124" t="s">
        <v>186</v>
      </c>
      <c r="C1124" t="s">
        <v>193</v>
      </c>
      <c r="D1124" t="s">
        <v>194</v>
      </c>
      <c r="E1124">
        <v>0</v>
      </c>
    </row>
    <row r="1125" spans="2:5" x14ac:dyDescent="0.25">
      <c r="B1125" t="s">
        <v>272</v>
      </c>
      <c r="C1125" t="s">
        <v>273</v>
      </c>
      <c r="D1125" t="s">
        <v>274</v>
      </c>
      <c r="E1125">
        <v>0</v>
      </c>
    </row>
    <row r="1126" spans="2:5" x14ac:dyDescent="0.25">
      <c r="B1126" t="s">
        <v>114</v>
      </c>
      <c r="C1126" t="s">
        <v>115</v>
      </c>
      <c r="D1126" t="s">
        <v>116</v>
      </c>
      <c r="E1126">
        <v>0</v>
      </c>
    </row>
    <row r="1127" spans="2:5" x14ac:dyDescent="0.25">
      <c r="B1127" t="s">
        <v>80</v>
      </c>
      <c r="C1127" t="s">
        <v>240</v>
      </c>
      <c r="D1127" t="s">
        <v>241</v>
      </c>
      <c r="E1127">
        <v>0</v>
      </c>
    </row>
    <row r="1128" spans="2:5" x14ac:dyDescent="0.25">
      <c r="B1128" t="s">
        <v>266</v>
      </c>
      <c r="C1128" t="s">
        <v>1556</v>
      </c>
      <c r="D1128" t="s">
        <v>1557</v>
      </c>
      <c r="E1128">
        <v>1000</v>
      </c>
    </row>
    <row r="1129" spans="2:5" x14ac:dyDescent="0.25">
      <c r="B1129" t="s">
        <v>261</v>
      </c>
      <c r="C1129" t="s">
        <v>264</v>
      </c>
      <c r="D1129" t="s">
        <v>265</v>
      </c>
      <c r="E1129">
        <v>0</v>
      </c>
    </row>
    <row r="1130" spans="2:5" x14ac:dyDescent="0.25">
      <c r="B1130" t="s">
        <v>109</v>
      </c>
      <c r="C1130" t="s">
        <v>110</v>
      </c>
      <c r="D1130" t="s">
        <v>111</v>
      </c>
      <c r="E1130">
        <v>0</v>
      </c>
    </row>
    <row r="1131" spans="2:5" x14ac:dyDescent="0.25">
      <c r="B1131" t="s">
        <v>120</v>
      </c>
      <c r="C1131" t="s">
        <v>834</v>
      </c>
      <c r="D1131" t="s">
        <v>835</v>
      </c>
      <c r="E1131">
        <v>4120</v>
      </c>
    </row>
    <row r="1132" spans="2:5" x14ac:dyDescent="0.25">
      <c r="B1132" t="s">
        <v>120</v>
      </c>
      <c r="C1132" t="s">
        <v>834</v>
      </c>
      <c r="D1132" t="s">
        <v>835</v>
      </c>
      <c r="E1132">
        <v>0</v>
      </c>
    </row>
    <row r="1133" spans="2:5" x14ac:dyDescent="0.25">
      <c r="B1133" t="s">
        <v>14</v>
      </c>
      <c r="C1133" t="s">
        <v>836</v>
      </c>
      <c r="D1133" t="s">
        <v>837</v>
      </c>
      <c r="E1133">
        <v>0</v>
      </c>
    </row>
    <row r="1134" spans="2:5" x14ac:dyDescent="0.25">
      <c r="B1134" t="s">
        <v>14</v>
      </c>
      <c r="C1134" t="s">
        <v>836</v>
      </c>
      <c r="D1134" t="s">
        <v>837</v>
      </c>
      <c r="E1134">
        <v>0</v>
      </c>
    </row>
    <row r="1135" spans="2:5" x14ac:dyDescent="0.25">
      <c r="B1135" t="s">
        <v>61</v>
      </c>
      <c r="C1135" t="s">
        <v>838</v>
      </c>
      <c r="D1135" t="s">
        <v>839</v>
      </c>
      <c r="E1135">
        <v>0</v>
      </c>
    </row>
    <row r="1136" spans="2:5" x14ac:dyDescent="0.25">
      <c r="B1136" t="s">
        <v>145</v>
      </c>
      <c r="C1136" t="s">
        <v>840</v>
      </c>
      <c r="D1136" t="s">
        <v>841</v>
      </c>
      <c r="E1136">
        <v>0</v>
      </c>
    </row>
    <row r="1137" spans="2:5" x14ac:dyDescent="0.25">
      <c r="B1137" t="s">
        <v>61</v>
      </c>
      <c r="C1137" t="s">
        <v>842</v>
      </c>
      <c r="D1137" t="s">
        <v>843</v>
      </c>
      <c r="E1137">
        <v>0</v>
      </c>
    </row>
    <row r="1138" spans="2:5" x14ac:dyDescent="0.25">
      <c r="B1138" t="s">
        <v>61</v>
      </c>
      <c r="C1138" t="s">
        <v>844</v>
      </c>
      <c r="D1138" t="s">
        <v>845</v>
      </c>
      <c r="E1138">
        <v>0</v>
      </c>
    </row>
    <row r="1139" spans="2:5" x14ac:dyDescent="0.25">
      <c r="B1139" t="s">
        <v>61</v>
      </c>
      <c r="C1139" t="s">
        <v>846</v>
      </c>
      <c r="D1139" t="s">
        <v>847</v>
      </c>
      <c r="E1139">
        <v>0</v>
      </c>
    </row>
    <row r="1140" spans="2:5" x14ac:dyDescent="0.25">
      <c r="B1140" t="s">
        <v>217</v>
      </c>
      <c r="C1140" t="s">
        <v>848</v>
      </c>
      <c r="D1140" t="s">
        <v>849</v>
      </c>
      <c r="E1140">
        <v>0</v>
      </c>
    </row>
    <row r="1141" spans="2:5" x14ac:dyDescent="0.25">
      <c r="B1141" t="s">
        <v>217</v>
      </c>
      <c r="C1141" t="s">
        <v>1521</v>
      </c>
      <c r="D1141" t="s">
        <v>1522</v>
      </c>
      <c r="E1141">
        <v>0</v>
      </c>
    </row>
    <row r="1142" spans="2:5" x14ac:dyDescent="0.25">
      <c r="B1142" t="s">
        <v>195</v>
      </c>
      <c r="C1142" t="s">
        <v>1523</v>
      </c>
      <c r="D1142" t="s">
        <v>1524</v>
      </c>
      <c r="E1142">
        <v>0</v>
      </c>
    </row>
    <row r="1143" spans="2:5" x14ac:dyDescent="0.25">
      <c r="B1143" t="s">
        <v>114</v>
      </c>
      <c r="C1143" t="s">
        <v>115</v>
      </c>
      <c r="D1143" t="s">
        <v>116</v>
      </c>
      <c r="E1143">
        <v>0</v>
      </c>
    </row>
    <row r="1144" spans="2:5" x14ac:dyDescent="0.25">
      <c r="B1144" t="s">
        <v>11</v>
      </c>
      <c r="C1144" t="s">
        <v>1525</v>
      </c>
      <c r="D1144" t="s">
        <v>1526</v>
      </c>
      <c r="E1144">
        <v>0</v>
      </c>
    </row>
    <row r="1145" spans="2:5" x14ac:dyDescent="0.25">
      <c r="B1145" t="s">
        <v>52</v>
      </c>
      <c r="C1145" t="s">
        <v>1527</v>
      </c>
      <c r="D1145" t="s">
        <v>1528</v>
      </c>
      <c r="E1145">
        <v>0</v>
      </c>
    </row>
    <row r="1146" spans="2:5" x14ac:dyDescent="0.25">
      <c r="B1146" t="s">
        <v>73</v>
      </c>
      <c r="C1146" t="s">
        <v>1529</v>
      </c>
      <c r="D1146" t="s">
        <v>1530</v>
      </c>
      <c r="E1146">
        <v>0</v>
      </c>
    </row>
    <row r="1147" spans="2:5" x14ac:dyDescent="0.25">
      <c r="B1147" t="s">
        <v>860</v>
      </c>
      <c r="C1147" t="s">
        <v>1531</v>
      </c>
      <c r="D1147" t="s">
        <v>1532</v>
      </c>
      <c r="E1147">
        <v>0</v>
      </c>
    </row>
    <row r="1148" spans="2:5" x14ac:dyDescent="0.25">
      <c r="B1148" t="s">
        <v>623</v>
      </c>
      <c r="C1148" t="s">
        <v>813</v>
      </c>
      <c r="D1148" t="s">
        <v>814</v>
      </c>
      <c r="E1148">
        <v>0</v>
      </c>
    </row>
    <row r="1149" spans="2:5" x14ac:dyDescent="0.25">
      <c r="B1149" t="s">
        <v>770</v>
      </c>
      <c r="C1149" t="s">
        <v>1533</v>
      </c>
      <c r="D1149" t="s">
        <v>1534</v>
      </c>
      <c r="E1149">
        <v>0</v>
      </c>
    </row>
    <row r="1150" spans="2:5" x14ac:dyDescent="0.25">
      <c r="B1150" t="s">
        <v>83</v>
      </c>
      <c r="C1150" t="s">
        <v>1535</v>
      </c>
      <c r="D1150" t="s">
        <v>1536</v>
      </c>
      <c r="E1150">
        <v>0</v>
      </c>
    </row>
    <row r="1151" spans="2:5" x14ac:dyDescent="0.25">
      <c r="B1151" t="s">
        <v>80</v>
      </c>
      <c r="C1151" t="s">
        <v>240</v>
      </c>
      <c r="D1151" t="s">
        <v>241</v>
      </c>
      <c r="E1151">
        <v>0</v>
      </c>
    </row>
    <row r="1152" spans="2:5" x14ac:dyDescent="0.25">
      <c r="B1152" t="s">
        <v>1249</v>
      </c>
      <c r="C1152" t="s">
        <v>1537</v>
      </c>
      <c r="D1152" t="s">
        <v>1538</v>
      </c>
      <c r="E1152">
        <v>0</v>
      </c>
    </row>
    <row r="1153" spans="2:5" x14ac:dyDescent="0.25">
      <c r="B1153" t="s">
        <v>1249</v>
      </c>
      <c r="C1153" t="s">
        <v>1539</v>
      </c>
      <c r="D1153" t="s">
        <v>1540</v>
      </c>
      <c r="E1153">
        <v>0</v>
      </c>
    </row>
    <row r="1154" spans="2:5" x14ac:dyDescent="0.25">
      <c r="B1154" t="s">
        <v>209</v>
      </c>
      <c r="C1154" t="s">
        <v>1541</v>
      </c>
      <c r="D1154" t="s">
        <v>1542</v>
      </c>
      <c r="E1154">
        <v>0</v>
      </c>
    </row>
    <row r="1155" spans="2:5" x14ac:dyDescent="0.25">
      <c r="B1155" t="s">
        <v>52</v>
      </c>
      <c r="C1155" t="s">
        <v>1543</v>
      </c>
      <c r="D1155" t="s">
        <v>1544</v>
      </c>
      <c r="E1155">
        <v>0</v>
      </c>
    </row>
    <row r="1156" spans="2:5" x14ac:dyDescent="0.25">
      <c r="B1156" t="s">
        <v>52</v>
      </c>
      <c r="C1156" t="s">
        <v>1545</v>
      </c>
      <c r="D1156" t="s">
        <v>1546</v>
      </c>
      <c r="E1156">
        <v>0</v>
      </c>
    </row>
    <row r="1157" spans="2:5" x14ac:dyDescent="0.25">
      <c r="B1157" t="s">
        <v>52</v>
      </c>
      <c r="C1157" t="s">
        <v>1547</v>
      </c>
      <c r="D1157" t="s">
        <v>1548</v>
      </c>
      <c r="E1157">
        <v>0</v>
      </c>
    </row>
    <row r="1158" spans="2:5" x14ac:dyDescent="0.25">
      <c r="B1158" t="s">
        <v>203</v>
      </c>
      <c r="C1158" t="s">
        <v>1549</v>
      </c>
      <c r="D1158" t="s">
        <v>1550</v>
      </c>
      <c r="E1158">
        <v>0</v>
      </c>
    </row>
    <row r="1159" spans="2:5" x14ac:dyDescent="0.25">
      <c r="B1159" t="s">
        <v>80</v>
      </c>
      <c r="C1159" t="s">
        <v>240</v>
      </c>
      <c r="D1159" t="s">
        <v>241</v>
      </c>
      <c r="E1159">
        <v>625</v>
      </c>
    </row>
    <row r="1160" spans="2:5" x14ac:dyDescent="0.25">
      <c r="B1160" t="s">
        <v>109</v>
      </c>
      <c r="C1160" t="s">
        <v>1551</v>
      </c>
      <c r="D1160" t="s">
        <v>1552</v>
      </c>
      <c r="E1160">
        <v>320</v>
      </c>
    </row>
    <row r="1161" spans="2:5" x14ac:dyDescent="0.25">
      <c r="B1161" t="s">
        <v>109</v>
      </c>
      <c r="C1161" t="s">
        <v>1551</v>
      </c>
      <c r="D1161" t="s">
        <v>1552</v>
      </c>
      <c r="E1161">
        <v>0</v>
      </c>
    </row>
    <row r="1162" spans="2:5" x14ac:dyDescent="0.25">
      <c r="B1162" t="s">
        <v>269</v>
      </c>
      <c r="C1162" t="s">
        <v>270</v>
      </c>
      <c r="D1162" t="s">
        <v>271</v>
      </c>
      <c r="E1162">
        <v>975</v>
      </c>
    </row>
    <row r="1163" spans="2:5" x14ac:dyDescent="0.25">
      <c r="B1163" t="s">
        <v>106</v>
      </c>
      <c r="C1163" t="s">
        <v>107</v>
      </c>
      <c r="D1163" t="s">
        <v>108</v>
      </c>
      <c r="E1163">
        <v>0</v>
      </c>
    </row>
    <row r="1164" spans="2:5" x14ac:dyDescent="0.25">
      <c r="B1164" t="s">
        <v>1553</v>
      </c>
      <c r="C1164" t="s">
        <v>1554</v>
      </c>
      <c r="D1164" t="s">
        <v>1555</v>
      </c>
      <c r="E1164">
        <v>0</v>
      </c>
    </row>
    <row r="1165" spans="2:5" x14ac:dyDescent="0.25">
      <c r="B1165" t="s">
        <v>195</v>
      </c>
      <c r="C1165" t="s">
        <v>196</v>
      </c>
      <c r="D1165" t="s">
        <v>197</v>
      </c>
      <c r="E1165">
        <v>0</v>
      </c>
    </row>
    <row r="1166" spans="2:5" x14ac:dyDescent="0.25">
      <c r="B1166" t="s">
        <v>161</v>
      </c>
      <c r="C1166" t="s">
        <v>827</v>
      </c>
      <c r="D1166" t="s">
        <v>828</v>
      </c>
      <c r="E1166">
        <v>0</v>
      </c>
    </row>
    <row r="1167" spans="2:5" x14ac:dyDescent="0.25">
      <c r="B1167" t="s">
        <v>272</v>
      </c>
      <c r="C1167" t="s">
        <v>273</v>
      </c>
      <c r="D1167" t="s">
        <v>274</v>
      </c>
      <c r="E1167">
        <v>219</v>
      </c>
    </row>
    <row r="1168" spans="2:5" x14ac:dyDescent="0.25">
      <c r="B1168" t="s">
        <v>20</v>
      </c>
      <c r="C1168" t="s">
        <v>259</v>
      </c>
      <c r="D1168" t="s">
        <v>260</v>
      </c>
      <c r="E1168">
        <v>0</v>
      </c>
    </row>
    <row r="1169" spans="2:5" x14ac:dyDescent="0.25">
      <c r="B1169" t="s">
        <v>20</v>
      </c>
      <c r="C1169" t="s">
        <v>259</v>
      </c>
      <c r="D1169" t="s">
        <v>260</v>
      </c>
      <c r="E1169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89"/>
  <sheetViews>
    <sheetView workbookViewId="0">
      <selection activeCell="B3" sqref="B3:F12"/>
    </sheetView>
  </sheetViews>
  <sheetFormatPr defaultRowHeight="15" x14ac:dyDescent="0.25"/>
  <cols>
    <col min="2" max="2" width="16.7109375" bestFit="1" customWidth="1"/>
    <col min="3" max="3" width="14.5703125" bestFit="1" customWidth="1"/>
    <col min="4" max="4" width="32.140625" bestFit="1" customWidth="1"/>
    <col min="5" max="5" width="14" bestFit="1" customWidth="1"/>
    <col min="6" max="6" width="12.85546875" bestFit="1" customWidth="1"/>
    <col min="7" max="7" width="17" bestFit="1" customWidth="1"/>
  </cols>
  <sheetData>
    <row r="2" spans="2:7" x14ac:dyDescent="0.25">
      <c r="B2" t="s">
        <v>4</v>
      </c>
      <c r="C2" t="s">
        <v>5</v>
      </c>
      <c r="D2" t="s">
        <v>6</v>
      </c>
      <c r="E2" t="s">
        <v>1601</v>
      </c>
      <c r="F2" t="s">
        <v>1602</v>
      </c>
      <c r="G2" t="s">
        <v>1603</v>
      </c>
    </row>
    <row r="3" spans="2:7" x14ac:dyDescent="0.25">
      <c r="B3" t="s">
        <v>58</v>
      </c>
      <c r="C3" t="s">
        <v>759</v>
      </c>
      <c r="D3" t="s">
        <v>760</v>
      </c>
      <c r="E3">
        <v>9</v>
      </c>
      <c r="F3" t="s">
        <v>1604</v>
      </c>
      <c r="G3" t="s">
        <v>1605</v>
      </c>
    </row>
    <row r="4" spans="2:7" x14ac:dyDescent="0.25">
      <c r="B4" t="s">
        <v>58</v>
      </c>
      <c r="C4" t="s">
        <v>759</v>
      </c>
      <c r="D4" t="s">
        <v>760</v>
      </c>
      <c r="E4">
        <v>10</v>
      </c>
      <c r="F4" t="s">
        <v>1604</v>
      </c>
      <c r="G4" t="s">
        <v>1606</v>
      </c>
    </row>
    <row r="5" spans="2:7" x14ac:dyDescent="0.25">
      <c r="B5" t="s">
        <v>58</v>
      </c>
      <c r="C5" t="s">
        <v>759</v>
      </c>
      <c r="D5" t="s">
        <v>760</v>
      </c>
      <c r="E5">
        <v>49</v>
      </c>
      <c r="F5" t="s">
        <v>1607</v>
      </c>
      <c r="G5" t="s">
        <v>1608</v>
      </c>
    </row>
    <row r="6" spans="2:7" x14ac:dyDescent="0.25">
      <c r="B6" t="s">
        <v>222</v>
      </c>
      <c r="C6" t="s">
        <v>223</v>
      </c>
      <c r="D6" t="s">
        <v>224</v>
      </c>
      <c r="E6">
        <v>5980</v>
      </c>
      <c r="F6" t="s">
        <v>1609</v>
      </c>
      <c r="G6" t="s">
        <v>1610</v>
      </c>
    </row>
    <row r="7" spans="2:7" x14ac:dyDescent="0.25">
      <c r="B7" t="s">
        <v>222</v>
      </c>
      <c r="C7" t="s">
        <v>223</v>
      </c>
      <c r="D7" t="s">
        <v>224</v>
      </c>
      <c r="E7">
        <v>-20</v>
      </c>
      <c r="F7" t="s">
        <v>2559</v>
      </c>
      <c r="G7" t="s">
        <v>1605</v>
      </c>
    </row>
    <row r="8" spans="2:7" x14ac:dyDescent="0.25">
      <c r="B8" t="s">
        <v>222</v>
      </c>
      <c r="C8" t="s">
        <v>223</v>
      </c>
      <c r="D8" t="s">
        <v>224</v>
      </c>
      <c r="E8">
        <v>-120</v>
      </c>
      <c r="F8" t="s">
        <v>2559</v>
      </c>
      <c r="G8" t="s">
        <v>1681</v>
      </c>
    </row>
    <row r="9" spans="2:7" x14ac:dyDescent="0.25">
      <c r="B9" t="s">
        <v>58</v>
      </c>
      <c r="C9" t="s">
        <v>947</v>
      </c>
      <c r="D9" t="s">
        <v>948</v>
      </c>
      <c r="E9">
        <v>-50</v>
      </c>
      <c r="F9" t="s">
        <v>2559</v>
      </c>
      <c r="G9" t="s">
        <v>1608</v>
      </c>
    </row>
    <row r="10" spans="2:7" x14ac:dyDescent="0.25">
      <c r="B10" t="s">
        <v>58</v>
      </c>
      <c r="C10" t="s">
        <v>59</v>
      </c>
      <c r="D10" t="s">
        <v>60</v>
      </c>
      <c r="E10">
        <v>120</v>
      </c>
      <c r="F10" t="s">
        <v>1611</v>
      </c>
      <c r="G10" t="s">
        <v>1612</v>
      </c>
    </row>
    <row r="11" spans="2:7" x14ac:dyDescent="0.25">
      <c r="B11" t="s">
        <v>145</v>
      </c>
      <c r="C11" t="s">
        <v>1293</v>
      </c>
      <c r="D11" t="s">
        <v>1294</v>
      </c>
      <c r="E11">
        <v>-50</v>
      </c>
      <c r="F11" t="s">
        <v>2559</v>
      </c>
      <c r="G11" t="s">
        <v>1614</v>
      </c>
    </row>
    <row r="12" spans="2:7" x14ac:dyDescent="0.25">
      <c r="B12" t="s">
        <v>145</v>
      </c>
      <c r="C12" t="s">
        <v>974</v>
      </c>
      <c r="D12" t="s">
        <v>975</v>
      </c>
      <c r="E12">
        <v>48</v>
      </c>
      <c r="F12" t="s">
        <v>1613</v>
      </c>
      <c r="G12" t="s">
        <v>1614</v>
      </c>
    </row>
    <row r="13" spans="2:7" x14ac:dyDescent="0.25">
      <c r="B13" t="s">
        <v>145</v>
      </c>
      <c r="C13" t="s">
        <v>974</v>
      </c>
      <c r="D13" t="s">
        <v>975</v>
      </c>
      <c r="E13">
        <v>2</v>
      </c>
      <c r="F13" t="s">
        <v>1613</v>
      </c>
      <c r="G13" t="s">
        <v>1614</v>
      </c>
    </row>
    <row r="14" spans="2:7" x14ac:dyDescent="0.25">
      <c r="B14" t="s">
        <v>145</v>
      </c>
      <c r="C14" t="s">
        <v>974</v>
      </c>
      <c r="D14" t="s">
        <v>975</v>
      </c>
      <c r="E14">
        <v>537</v>
      </c>
      <c r="F14" t="s">
        <v>1615</v>
      </c>
      <c r="G14" t="s">
        <v>1616</v>
      </c>
    </row>
    <row r="15" spans="2:7" x14ac:dyDescent="0.25">
      <c r="B15" t="s">
        <v>145</v>
      </c>
      <c r="C15" t="s">
        <v>974</v>
      </c>
      <c r="D15" t="s">
        <v>975</v>
      </c>
      <c r="E15">
        <v>100</v>
      </c>
      <c r="F15" t="s">
        <v>1617</v>
      </c>
      <c r="G15" t="s">
        <v>1616</v>
      </c>
    </row>
    <row r="16" spans="2:7" x14ac:dyDescent="0.25">
      <c r="B16" t="s">
        <v>145</v>
      </c>
      <c r="C16" t="s">
        <v>974</v>
      </c>
      <c r="D16" t="s">
        <v>975</v>
      </c>
      <c r="E16">
        <v>120</v>
      </c>
      <c r="F16" t="s">
        <v>1618</v>
      </c>
      <c r="G16" t="s">
        <v>1619</v>
      </c>
    </row>
    <row r="17" spans="2:7" x14ac:dyDescent="0.25">
      <c r="B17" t="s">
        <v>145</v>
      </c>
      <c r="C17" t="s">
        <v>974</v>
      </c>
      <c r="D17" t="s">
        <v>975</v>
      </c>
      <c r="E17">
        <v>94</v>
      </c>
      <c r="F17" t="s">
        <v>1620</v>
      </c>
      <c r="G17" t="s">
        <v>1606</v>
      </c>
    </row>
    <row r="18" spans="2:7" x14ac:dyDescent="0.25">
      <c r="B18" t="s">
        <v>145</v>
      </c>
      <c r="C18" t="s">
        <v>974</v>
      </c>
      <c r="D18" t="s">
        <v>975</v>
      </c>
      <c r="E18">
        <v>100</v>
      </c>
      <c r="F18" t="s">
        <v>1621</v>
      </c>
      <c r="G18" t="s">
        <v>1622</v>
      </c>
    </row>
    <row r="19" spans="2:7" x14ac:dyDescent="0.25">
      <c r="B19" t="s">
        <v>145</v>
      </c>
      <c r="C19" t="s">
        <v>974</v>
      </c>
      <c r="D19" t="s">
        <v>975</v>
      </c>
      <c r="E19">
        <v>187</v>
      </c>
      <c r="F19" t="s">
        <v>1623</v>
      </c>
      <c r="G19" t="s">
        <v>1624</v>
      </c>
    </row>
    <row r="20" spans="2:7" x14ac:dyDescent="0.25">
      <c r="B20" t="s">
        <v>145</v>
      </c>
      <c r="C20" t="s">
        <v>974</v>
      </c>
      <c r="D20" t="s">
        <v>975</v>
      </c>
      <c r="E20">
        <v>19</v>
      </c>
      <c r="F20" t="s">
        <v>1625</v>
      </c>
      <c r="G20" t="s">
        <v>1608</v>
      </c>
    </row>
    <row r="21" spans="2:7" x14ac:dyDescent="0.25">
      <c r="B21" t="s">
        <v>145</v>
      </c>
      <c r="C21" t="s">
        <v>225</v>
      </c>
      <c r="D21" t="s">
        <v>226</v>
      </c>
      <c r="E21">
        <v>200</v>
      </c>
      <c r="F21" t="s">
        <v>1626</v>
      </c>
      <c r="G21" t="s">
        <v>1627</v>
      </c>
    </row>
    <row r="22" spans="2:7" x14ac:dyDescent="0.25">
      <c r="B22" t="s">
        <v>145</v>
      </c>
      <c r="C22" t="s">
        <v>225</v>
      </c>
      <c r="D22" t="s">
        <v>226</v>
      </c>
      <c r="E22">
        <v>395</v>
      </c>
      <c r="F22" t="s">
        <v>1628</v>
      </c>
      <c r="G22" t="s">
        <v>1629</v>
      </c>
    </row>
    <row r="23" spans="2:7" x14ac:dyDescent="0.25">
      <c r="B23" t="s">
        <v>145</v>
      </c>
      <c r="C23" t="s">
        <v>225</v>
      </c>
      <c r="D23" t="s">
        <v>226</v>
      </c>
      <c r="E23">
        <v>10</v>
      </c>
      <c r="F23" t="s">
        <v>1630</v>
      </c>
      <c r="G23" t="s">
        <v>1631</v>
      </c>
    </row>
    <row r="24" spans="2:7" x14ac:dyDescent="0.25">
      <c r="B24" t="s">
        <v>145</v>
      </c>
      <c r="C24" t="s">
        <v>225</v>
      </c>
      <c r="D24" t="s">
        <v>226</v>
      </c>
      <c r="E24">
        <v>490</v>
      </c>
      <c r="F24" t="s">
        <v>1630</v>
      </c>
      <c r="G24" t="s">
        <v>1632</v>
      </c>
    </row>
    <row r="25" spans="2:7" x14ac:dyDescent="0.25">
      <c r="B25" t="s">
        <v>145</v>
      </c>
      <c r="C25" t="s">
        <v>225</v>
      </c>
      <c r="D25" t="s">
        <v>226</v>
      </c>
      <c r="E25">
        <v>600</v>
      </c>
      <c r="F25" t="s">
        <v>1633</v>
      </c>
      <c r="G25" t="s">
        <v>1614</v>
      </c>
    </row>
    <row r="26" spans="2:7" x14ac:dyDescent="0.25">
      <c r="B26" t="s">
        <v>145</v>
      </c>
      <c r="C26" t="s">
        <v>225</v>
      </c>
      <c r="D26" t="s">
        <v>226</v>
      </c>
      <c r="E26">
        <v>50</v>
      </c>
      <c r="F26" t="s">
        <v>1633</v>
      </c>
      <c r="G26" t="s">
        <v>1614</v>
      </c>
    </row>
    <row r="27" spans="2:7" x14ac:dyDescent="0.25">
      <c r="B27" t="s">
        <v>145</v>
      </c>
      <c r="C27" t="s">
        <v>225</v>
      </c>
      <c r="D27" t="s">
        <v>226</v>
      </c>
      <c r="E27">
        <v>0</v>
      </c>
      <c r="F27" t="s">
        <v>1633</v>
      </c>
      <c r="G27" t="s">
        <v>1634</v>
      </c>
    </row>
    <row r="28" spans="2:7" x14ac:dyDescent="0.25">
      <c r="B28" t="s">
        <v>145</v>
      </c>
      <c r="C28" t="s">
        <v>225</v>
      </c>
      <c r="D28" t="s">
        <v>226</v>
      </c>
      <c r="E28">
        <v>200</v>
      </c>
      <c r="F28" t="s">
        <v>1635</v>
      </c>
      <c r="G28" t="s">
        <v>1616</v>
      </c>
    </row>
    <row r="29" spans="2:7" x14ac:dyDescent="0.25">
      <c r="B29" t="s">
        <v>145</v>
      </c>
      <c r="C29" t="s">
        <v>225</v>
      </c>
      <c r="D29" t="s">
        <v>226</v>
      </c>
      <c r="E29">
        <v>500</v>
      </c>
      <c r="F29" t="s">
        <v>1636</v>
      </c>
      <c r="G29" t="s">
        <v>1622</v>
      </c>
    </row>
    <row r="30" spans="2:7" x14ac:dyDescent="0.25">
      <c r="B30" t="s">
        <v>145</v>
      </c>
      <c r="C30" t="s">
        <v>225</v>
      </c>
      <c r="D30" t="s">
        <v>226</v>
      </c>
      <c r="E30">
        <v>60</v>
      </c>
      <c r="F30" t="s">
        <v>1637</v>
      </c>
      <c r="G30" t="s">
        <v>1612</v>
      </c>
    </row>
    <row r="31" spans="2:7" x14ac:dyDescent="0.25">
      <c r="B31" t="s">
        <v>145</v>
      </c>
      <c r="C31" t="s">
        <v>225</v>
      </c>
      <c r="D31" t="s">
        <v>226</v>
      </c>
      <c r="E31">
        <v>630</v>
      </c>
      <c r="F31" t="s">
        <v>1638</v>
      </c>
      <c r="G31" t="s">
        <v>1624</v>
      </c>
    </row>
    <row r="32" spans="2:7" x14ac:dyDescent="0.25">
      <c r="B32" t="s">
        <v>145</v>
      </c>
      <c r="C32" t="s">
        <v>146</v>
      </c>
      <c r="D32" t="s">
        <v>147</v>
      </c>
      <c r="E32">
        <v>-400</v>
      </c>
      <c r="F32" t="s">
        <v>2559</v>
      </c>
      <c r="G32" t="s">
        <v>1867</v>
      </c>
    </row>
    <row r="33" spans="2:7" x14ac:dyDescent="0.25">
      <c r="B33" t="s">
        <v>145</v>
      </c>
      <c r="C33" t="s">
        <v>146</v>
      </c>
      <c r="D33" t="s">
        <v>147</v>
      </c>
      <c r="E33">
        <v>-500</v>
      </c>
      <c r="F33" t="s">
        <v>2559</v>
      </c>
      <c r="G33" t="s">
        <v>1631</v>
      </c>
    </row>
    <row r="34" spans="2:7" x14ac:dyDescent="0.25">
      <c r="B34" t="s">
        <v>145</v>
      </c>
      <c r="C34" t="s">
        <v>146</v>
      </c>
      <c r="D34" t="s">
        <v>147</v>
      </c>
      <c r="E34">
        <v>-700</v>
      </c>
      <c r="F34" t="s">
        <v>2559</v>
      </c>
      <c r="G34" t="s">
        <v>1614</v>
      </c>
    </row>
    <row r="35" spans="2:7" x14ac:dyDescent="0.25">
      <c r="B35" t="s">
        <v>145</v>
      </c>
      <c r="C35" t="s">
        <v>146</v>
      </c>
      <c r="D35" t="s">
        <v>147</v>
      </c>
      <c r="E35">
        <v>-600</v>
      </c>
      <c r="F35" t="s">
        <v>2559</v>
      </c>
      <c r="G35" t="s">
        <v>1786</v>
      </c>
    </row>
    <row r="36" spans="2:7" x14ac:dyDescent="0.25">
      <c r="B36" t="s">
        <v>145</v>
      </c>
      <c r="C36" t="s">
        <v>146</v>
      </c>
      <c r="D36" t="s">
        <v>147</v>
      </c>
      <c r="E36">
        <v>-120</v>
      </c>
      <c r="F36" t="s">
        <v>2559</v>
      </c>
      <c r="G36" t="s">
        <v>1731</v>
      </c>
    </row>
    <row r="37" spans="2:7" x14ac:dyDescent="0.25">
      <c r="B37" t="s">
        <v>145</v>
      </c>
      <c r="C37" t="s">
        <v>146</v>
      </c>
      <c r="D37" t="s">
        <v>147</v>
      </c>
      <c r="E37">
        <v>-200</v>
      </c>
      <c r="F37" t="s">
        <v>2559</v>
      </c>
      <c r="G37" t="s">
        <v>1731</v>
      </c>
    </row>
    <row r="38" spans="2:7" x14ac:dyDescent="0.25">
      <c r="B38" t="s">
        <v>145</v>
      </c>
      <c r="C38" t="s">
        <v>146</v>
      </c>
      <c r="D38" t="s">
        <v>147</v>
      </c>
      <c r="E38">
        <v>-60</v>
      </c>
      <c r="F38" t="s">
        <v>2559</v>
      </c>
      <c r="G38" t="s">
        <v>1681</v>
      </c>
    </row>
    <row r="39" spans="2:7" x14ac:dyDescent="0.25">
      <c r="B39" t="s">
        <v>145</v>
      </c>
      <c r="C39" t="s">
        <v>146</v>
      </c>
      <c r="D39" t="s">
        <v>147</v>
      </c>
      <c r="E39">
        <v>-200</v>
      </c>
      <c r="F39" t="s">
        <v>2559</v>
      </c>
      <c r="G39" t="s">
        <v>1663</v>
      </c>
    </row>
    <row r="40" spans="2:7" x14ac:dyDescent="0.25">
      <c r="B40" t="s">
        <v>145</v>
      </c>
      <c r="C40" t="s">
        <v>146</v>
      </c>
      <c r="D40" t="s">
        <v>147</v>
      </c>
      <c r="E40">
        <v>-660</v>
      </c>
      <c r="F40" t="s">
        <v>2559</v>
      </c>
      <c r="G40" t="s">
        <v>1663</v>
      </c>
    </row>
    <row r="41" spans="2:7" x14ac:dyDescent="0.25">
      <c r="B41" t="s">
        <v>145</v>
      </c>
      <c r="C41" t="s">
        <v>146</v>
      </c>
      <c r="D41" t="s">
        <v>147</v>
      </c>
      <c r="E41">
        <v>-20</v>
      </c>
      <c r="F41" t="s">
        <v>2559</v>
      </c>
      <c r="G41" t="s">
        <v>1608</v>
      </c>
    </row>
    <row r="42" spans="2:7" x14ac:dyDescent="0.25">
      <c r="B42" t="s">
        <v>145</v>
      </c>
      <c r="C42" t="s">
        <v>146</v>
      </c>
      <c r="D42" t="s">
        <v>147</v>
      </c>
      <c r="E42">
        <v>-100</v>
      </c>
      <c r="F42" t="s">
        <v>2559</v>
      </c>
      <c r="G42" t="s">
        <v>1616</v>
      </c>
    </row>
    <row r="43" spans="2:7" x14ac:dyDescent="0.25">
      <c r="B43" t="s">
        <v>145</v>
      </c>
      <c r="C43" t="s">
        <v>146</v>
      </c>
      <c r="D43" t="s">
        <v>147</v>
      </c>
      <c r="E43">
        <v>-20</v>
      </c>
      <c r="F43" t="s">
        <v>2559</v>
      </c>
      <c r="G43" t="s">
        <v>1619</v>
      </c>
    </row>
    <row r="44" spans="2:7" x14ac:dyDescent="0.25">
      <c r="B44" t="s">
        <v>145</v>
      </c>
      <c r="C44" t="s">
        <v>146</v>
      </c>
      <c r="D44" t="s">
        <v>147</v>
      </c>
      <c r="E44">
        <v>-100</v>
      </c>
      <c r="F44" t="s">
        <v>2559</v>
      </c>
      <c r="G44" t="s">
        <v>1605</v>
      </c>
    </row>
    <row r="45" spans="2:7" x14ac:dyDescent="0.25">
      <c r="B45" t="s">
        <v>145</v>
      </c>
      <c r="C45" t="s">
        <v>146</v>
      </c>
      <c r="D45" t="s">
        <v>147</v>
      </c>
      <c r="E45">
        <v>-600</v>
      </c>
      <c r="F45" t="s">
        <v>2559</v>
      </c>
      <c r="G45" t="s">
        <v>1646</v>
      </c>
    </row>
    <row r="46" spans="2:7" x14ac:dyDescent="0.25">
      <c r="B46" t="s">
        <v>61</v>
      </c>
      <c r="C46" t="s">
        <v>1171</v>
      </c>
      <c r="D46" t="s">
        <v>1172</v>
      </c>
      <c r="E46">
        <v>12</v>
      </c>
      <c r="F46" t="s">
        <v>1639</v>
      </c>
      <c r="G46" t="s">
        <v>1640</v>
      </c>
    </row>
    <row r="47" spans="2:7" x14ac:dyDescent="0.25">
      <c r="B47" t="s">
        <v>61</v>
      </c>
      <c r="C47" t="s">
        <v>1171</v>
      </c>
      <c r="D47" t="s">
        <v>1172</v>
      </c>
      <c r="E47">
        <v>72</v>
      </c>
      <c r="F47" t="s">
        <v>1641</v>
      </c>
      <c r="G47" t="s">
        <v>1616</v>
      </c>
    </row>
    <row r="48" spans="2:7" x14ac:dyDescent="0.25">
      <c r="B48" t="s">
        <v>61</v>
      </c>
      <c r="C48" t="s">
        <v>159</v>
      </c>
      <c r="D48" t="s">
        <v>160</v>
      </c>
      <c r="E48">
        <v>150</v>
      </c>
      <c r="F48" t="s">
        <v>1642</v>
      </c>
      <c r="G48" t="s">
        <v>1643</v>
      </c>
    </row>
    <row r="49" spans="2:7" x14ac:dyDescent="0.25">
      <c r="B49" t="s">
        <v>61</v>
      </c>
      <c r="C49" t="s">
        <v>159</v>
      </c>
      <c r="D49" t="s">
        <v>160</v>
      </c>
      <c r="E49">
        <v>250</v>
      </c>
      <c r="F49" t="s">
        <v>1644</v>
      </c>
      <c r="G49" t="s">
        <v>1619</v>
      </c>
    </row>
    <row r="50" spans="2:7" x14ac:dyDescent="0.25">
      <c r="B50" t="s">
        <v>61</v>
      </c>
      <c r="C50" t="s">
        <v>159</v>
      </c>
      <c r="D50" t="s">
        <v>160</v>
      </c>
      <c r="E50">
        <v>50</v>
      </c>
      <c r="F50" t="s">
        <v>1645</v>
      </c>
      <c r="G50" t="s">
        <v>1646</v>
      </c>
    </row>
    <row r="51" spans="2:7" x14ac:dyDescent="0.25">
      <c r="B51" t="s">
        <v>61</v>
      </c>
      <c r="C51" t="s">
        <v>231</v>
      </c>
      <c r="D51" t="s">
        <v>232</v>
      </c>
      <c r="E51">
        <v>6220</v>
      </c>
      <c r="F51" t="s">
        <v>1647</v>
      </c>
      <c r="G51" t="s">
        <v>1627</v>
      </c>
    </row>
    <row r="52" spans="2:7" x14ac:dyDescent="0.25">
      <c r="B52" t="s">
        <v>61</v>
      </c>
      <c r="C52" t="s">
        <v>231</v>
      </c>
      <c r="D52" t="s">
        <v>232</v>
      </c>
      <c r="E52">
        <v>1740</v>
      </c>
      <c r="F52" t="s">
        <v>1648</v>
      </c>
      <c r="G52" t="s">
        <v>1649</v>
      </c>
    </row>
    <row r="53" spans="2:7" x14ac:dyDescent="0.25">
      <c r="B53" t="s">
        <v>61</v>
      </c>
      <c r="C53" t="s">
        <v>231</v>
      </c>
      <c r="D53" t="s">
        <v>232</v>
      </c>
      <c r="E53">
        <v>1260</v>
      </c>
      <c r="F53" t="s">
        <v>1648</v>
      </c>
      <c r="G53" t="s">
        <v>1616</v>
      </c>
    </row>
    <row r="54" spans="2:7" x14ac:dyDescent="0.25">
      <c r="B54" t="s">
        <v>61</v>
      </c>
      <c r="C54" t="s">
        <v>231</v>
      </c>
      <c r="D54" t="s">
        <v>232</v>
      </c>
      <c r="E54">
        <v>100</v>
      </c>
      <c r="F54" t="s">
        <v>1650</v>
      </c>
      <c r="G54" t="s">
        <v>1651</v>
      </c>
    </row>
    <row r="55" spans="2:7" x14ac:dyDescent="0.25">
      <c r="B55" t="s">
        <v>61</v>
      </c>
      <c r="C55" t="s">
        <v>231</v>
      </c>
      <c r="D55" t="s">
        <v>232</v>
      </c>
      <c r="E55">
        <v>1580</v>
      </c>
      <c r="F55" t="s">
        <v>1652</v>
      </c>
      <c r="G55" t="s">
        <v>1653</v>
      </c>
    </row>
    <row r="56" spans="2:7" x14ac:dyDescent="0.25">
      <c r="B56" t="s">
        <v>61</v>
      </c>
      <c r="C56" t="s">
        <v>231</v>
      </c>
      <c r="D56" t="s">
        <v>232</v>
      </c>
      <c r="E56">
        <v>1340</v>
      </c>
      <c r="F56" t="s">
        <v>1652</v>
      </c>
      <c r="G56" t="s">
        <v>1654</v>
      </c>
    </row>
    <row r="57" spans="2:7" x14ac:dyDescent="0.25">
      <c r="B57" t="s">
        <v>61</v>
      </c>
      <c r="C57" t="s">
        <v>233</v>
      </c>
      <c r="D57" t="s">
        <v>234</v>
      </c>
      <c r="E57">
        <v>-50</v>
      </c>
      <c r="F57" t="s">
        <v>2559</v>
      </c>
      <c r="G57" t="s">
        <v>1660</v>
      </c>
    </row>
    <row r="58" spans="2:7" x14ac:dyDescent="0.25">
      <c r="B58" t="s">
        <v>61</v>
      </c>
      <c r="C58" t="s">
        <v>233</v>
      </c>
      <c r="D58" t="s">
        <v>234</v>
      </c>
      <c r="E58">
        <v>-250</v>
      </c>
      <c r="F58" t="s">
        <v>2559</v>
      </c>
      <c r="G58" t="s">
        <v>1731</v>
      </c>
    </row>
    <row r="59" spans="2:7" x14ac:dyDescent="0.25">
      <c r="B59" t="s">
        <v>61</v>
      </c>
      <c r="C59" t="s">
        <v>233</v>
      </c>
      <c r="D59" t="s">
        <v>234</v>
      </c>
      <c r="E59">
        <v>-100</v>
      </c>
      <c r="F59" t="s">
        <v>2559</v>
      </c>
      <c r="G59" t="s">
        <v>1606</v>
      </c>
    </row>
    <row r="60" spans="2:7" x14ac:dyDescent="0.25">
      <c r="B60" t="s">
        <v>61</v>
      </c>
      <c r="C60" t="s">
        <v>233</v>
      </c>
      <c r="D60" t="s">
        <v>234</v>
      </c>
      <c r="E60">
        <v>-50</v>
      </c>
      <c r="F60" t="s">
        <v>2559</v>
      </c>
      <c r="G60" t="s">
        <v>1956</v>
      </c>
    </row>
    <row r="61" spans="2:7" x14ac:dyDescent="0.25">
      <c r="B61" t="s">
        <v>195</v>
      </c>
      <c r="C61" t="s">
        <v>1167</v>
      </c>
      <c r="D61" t="s">
        <v>1168</v>
      </c>
      <c r="E61">
        <v>6240</v>
      </c>
      <c r="F61" t="s">
        <v>1655</v>
      </c>
      <c r="G61" t="s">
        <v>1643</v>
      </c>
    </row>
    <row r="62" spans="2:7" x14ac:dyDescent="0.25">
      <c r="B62" t="s">
        <v>195</v>
      </c>
      <c r="C62" t="s">
        <v>1167</v>
      </c>
      <c r="D62" t="s">
        <v>1168</v>
      </c>
      <c r="E62">
        <v>-20</v>
      </c>
      <c r="F62" t="s">
        <v>2559</v>
      </c>
      <c r="G62" t="s">
        <v>1793</v>
      </c>
    </row>
    <row r="63" spans="2:7" x14ac:dyDescent="0.25">
      <c r="B63" t="s">
        <v>195</v>
      </c>
      <c r="C63" t="s">
        <v>196</v>
      </c>
      <c r="D63" t="s">
        <v>197</v>
      </c>
      <c r="E63">
        <v>-500</v>
      </c>
      <c r="F63" t="s">
        <v>2559</v>
      </c>
      <c r="G63" t="s">
        <v>1608</v>
      </c>
    </row>
    <row r="64" spans="2:7" x14ac:dyDescent="0.25">
      <c r="B64" t="s">
        <v>70</v>
      </c>
      <c r="C64" t="s">
        <v>1059</v>
      </c>
      <c r="D64" t="s">
        <v>1060</v>
      </c>
      <c r="E64">
        <v>79</v>
      </c>
      <c r="F64" t="s">
        <v>1656</v>
      </c>
      <c r="G64" t="s">
        <v>1634</v>
      </c>
    </row>
    <row r="65" spans="2:7" x14ac:dyDescent="0.25">
      <c r="B65" t="s">
        <v>70</v>
      </c>
      <c r="C65" t="s">
        <v>388</v>
      </c>
      <c r="D65" t="s">
        <v>389</v>
      </c>
      <c r="E65">
        <v>-80</v>
      </c>
      <c r="F65" t="s">
        <v>2559</v>
      </c>
      <c r="G65" t="s">
        <v>1634</v>
      </c>
    </row>
    <row r="66" spans="2:7" x14ac:dyDescent="0.25">
      <c r="B66" t="s">
        <v>73</v>
      </c>
      <c r="C66" t="s">
        <v>983</v>
      </c>
      <c r="D66" t="s">
        <v>984</v>
      </c>
      <c r="E66">
        <v>200</v>
      </c>
      <c r="F66" t="s">
        <v>1657</v>
      </c>
      <c r="G66" t="s">
        <v>1658</v>
      </c>
    </row>
    <row r="67" spans="2:7" x14ac:dyDescent="0.25">
      <c r="B67" t="s">
        <v>860</v>
      </c>
      <c r="C67" t="s">
        <v>1061</v>
      </c>
      <c r="D67" t="s">
        <v>1062</v>
      </c>
      <c r="E67">
        <v>-200</v>
      </c>
      <c r="F67" t="s">
        <v>2559</v>
      </c>
      <c r="G67" t="s">
        <v>1640</v>
      </c>
    </row>
    <row r="68" spans="2:7" x14ac:dyDescent="0.25">
      <c r="B68" t="s">
        <v>237</v>
      </c>
      <c r="C68" t="s">
        <v>1063</v>
      </c>
      <c r="D68" t="s">
        <v>1064</v>
      </c>
      <c r="E68">
        <v>60</v>
      </c>
      <c r="F68" t="s">
        <v>1659</v>
      </c>
      <c r="G68" t="s">
        <v>1660</v>
      </c>
    </row>
    <row r="69" spans="2:7" x14ac:dyDescent="0.25">
      <c r="B69" t="s">
        <v>237</v>
      </c>
      <c r="C69" t="s">
        <v>596</v>
      </c>
      <c r="D69" t="s">
        <v>597</v>
      </c>
      <c r="E69">
        <v>-60</v>
      </c>
      <c r="F69" t="s">
        <v>2559</v>
      </c>
      <c r="G69" t="s">
        <v>1672</v>
      </c>
    </row>
    <row r="70" spans="2:7" x14ac:dyDescent="0.25">
      <c r="B70" t="s">
        <v>352</v>
      </c>
      <c r="C70" t="s">
        <v>987</v>
      </c>
      <c r="D70" t="s">
        <v>988</v>
      </c>
      <c r="E70">
        <v>-260</v>
      </c>
      <c r="F70" t="s">
        <v>2559</v>
      </c>
      <c r="G70" t="s">
        <v>1605</v>
      </c>
    </row>
    <row r="71" spans="2:7" x14ac:dyDescent="0.25">
      <c r="B71" t="s">
        <v>352</v>
      </c>
      <c r="C71" t="s">
        <v>1065</v>
      </c>
      <c r="D71" t="s">
        <v>1066</v>
      </c>
      <c r="E71">
        <v>252</v>
      </c>
      <c r="F71" t="s">
        <v>1661</v>
      </c>
      <c r="G71" t="s">
        <v>1606</v>
      </c>
    </row>
    <row r="72" spans="2:7" x14ac:dyDescent="0.25">
      <c r="B72" t="s">
        <v>352</v>
      </c>
      <c r="C72" t="s">
        <v>1065</v>
      </c>
      <c r="D72" t="s">
        <v>1066</v>
      </c>
      <c r="E72">
        <v>168</v>
      </c>
      <c r="F72" t="s">
        <v>1662</v>
      </c>
      <c r="G72" t="s">
        <v>1663</v>
      </c>
    </row>
    <row r="73" spans="2:7" x14ac:dyDescent="0.25">
      <c r="B73" t="s">
        <v>352</v>
      </c>
      <c r="C73" t="s">
        <v>1320</v>
      </c>
      <c r="D73" t="s">
        <v>1321</v>
      </c>
      <c r="E73">
        <v>220</v>
      </c>
      <c r="F73" t="s">
        <v>1664</v>
      </c>
      <c r="G73" t="s">
        <v>1660</v>
      </c>
    </row>
    <row r="74" spans="2:7" x14ac:dyDescent="0.25">
      <c r="B74" t="s">
        <v>352</v>
      </c>
      <c r="C74" t="s">
        <v>1320</v>
      </c>
      <c r="D74" t="s">
        <v>1321</v>
      </c>
      <c r="E74">
        <v>10</v>
      </c>
      <c r="F74" t="s">
        <v>1665</v>
      </c>
      <c r="G74" t="s">
        <v>1643</v>
      </c>
    </row>
    <row r="75" spans="2:7" x14ac:dyDescent="0.25">
      <c r="B75" t="s">
        <v>352</v>
      </c>
      <c r="C75" t="s">
        <v>1320</v>
      </c>
      <c r="D75" t="s">
        <v>1321</v>
      </c>
      <c r="E75">
        <v>10</v>
      </c>
      <c r="F75" t="s">
        <v>1665</v>
      </c>
      <c r="G75" t="s">
        <v>1632</v>
      </c>
    </row>
    <row r="76" spans="2:7" x14ac:dyDescent="0.25">
      <c r="B76" t="s">
        <v>352</v>
      </c>
      <c r="C76" t="s">
        <v>1320</v>
      </c>
      <c r="D76" t="s">
        <v>1321</v>
      </c>
      <c r="E76">
        <v>1010</v>
      </c>
      <c r="F76" t="s">
        <v>1666</v>
      </c>
      <c r="G76" t="s">
        <v>1663</v>
      </c>
    </row>
    <row r="77" spans="2:7" x14ac:dyDescent="0.25">
      <c r="B77" t="s">
        <v>352</v>
      </c>
      <c r="C77" t="s">
        <v>1380</v>
      </c>
      <c r="D77" t="s">
        <v>1381</v>
      </c>
      <c r="E77">
        <v>-220</v>
      </c>
      <c r="F77" t="s">
        <v>2559</v>
      </c>
      <c r="G77" t="s">
        <v>1775</v>
      </c>
    </row>
    <row r="78" spans="2:7" x14ac:dyDescent="0.25">
      <c r="B78" t="s">
        <v>352</v>
      </c>
      <c r="C78" t="s">
        <v>1380</v>
      </c>
      <c r="D78" t="s">
        <v>1381</v>
      </c>
      <c r="E78">
        <v>-20</v>
      </c>
      <c r="F78" t="s">
        <v>2559</v>
      </c>
      <c r="G78" t="s">
        <v>1660</v>
      </c>
    </row>
    <row r="79" spans="2:7" x14ac:dyDescent="0.25">
      <c r="B79" t="s">
        <v>352</v>
      </c>
      <c r="C79" t="s">
        <v>1380</v>
      </c>
      <c r="D79" t="s">
        <v>1381</v>
      </c>
      <c r="E79">
        <v>760</v>
      </c>
      <c r="F79" t="s">
        <v>1667</v>
      </c>
      <c r="G79" t="s">
        <v>1663</v>
      </c>
    </row>
    <row r="80" spans="2:7" x14ac:dyDescent="0.25">
      <c r="B80" t="s">
        <v>11</v>
      </c>
      <c r="C80" t="s">
        <v>1324</v>
      </c>
      <c r="D80" t="s">
        <v>1325</v>
      </c>
      <c r="E80">
        <v>36</v>
      </c>
      <c r="F80" t="s">
        <v>1668</v>
      </c>
      <c r="G80" t="s">
        <v>1614</v>
      </c>
    </row>
    <row r="81" spans="2:7" x14ac:dyDescent="0.25">
      <c r="B81" t="s">
        <v>11</v>
      </c>
      <c r="C81" t="s">
        <v>1324</v>
      </c>
      <c r="D81" t="s">
        <v>1325</v>
      </c>
      <c r="E81">
        <v>4</v>
      </c>
      <c r="F81" t="s">
        <v>1668</v>
      </c>
      <c r="G81" t="s">
        <v>1614</v>
      </c>
    </row>
    <row r="82" spans="2:7" x14ac:dyDescent="0.25">
      <c r="B82" t="s">
        <v>11</v>
      </c>
      <c r="C82" t="s">
        <v>1324</v>
      </c>
      <c r="D82" t="s">
        <v>1325</v>
      </c>
      <c r="E82">
        <v>140</v>
      </c>
      <c r="F82" t="s">
        <v>1669</v>
      </c>
      <c r="G82" t="s">
        <v>1616</v>
      </c>
    </row>
    <row r="83" spans="2:7" x14ac:dyDescent="0.25">
      <c r="B83" t="s">
        <v>11</v>
      </c>
      <c r="C83" t="s">
        <v>1324</v>
      </c>
      <c r="D83" t="s">
        <v>1325</v>
      </c>
      <c r="E83">
        <v>100</v>
      </c>
      <c r="F83" t="s">
        <v>1670</v>
      </c>
      <c r="G83" t="s">
        <v>1616</v>
      </c>
    </row>
    <row r="84" spans="2:7" x14ac:dyDescent="0.25">
      <c r="B84" t="s">
        <v>11</v>
      </c>
      <c r="C84" t="s">
        <v>1388</v>
      </c>
      <c r="D84" t="s">
        <v>1389</v>
      </c>
      <c r="E84">
        <v>500</v>
      </c>
      <c r="F84" t="s">
        <v>1671</v>
      </c>
      <c r="G84" t="s">
        <v>1672</v>
      </c>
    </row>
    <row r="85" spans="2:7" x14ac:dyDescent="0.25">
      <c r="B85" t="s">
        <v>11</v>
      </c>
      <c r="C85" t="s">
        <v>1388</v>
      </c>
      <c r="D85" t="s">
        <v>1389</v>
      </c>
      <c r="E85">
        <v>-20</v>
      </c>
      <c r="F85" t="s">
        <v>2559</v>
      </c>
      <c r="G85" t="s">
        <v>1720</v>
      </c>
    </row>
    <row r="86" spans="2:7" x14ac:dyDescent="0.25">
      <c r="B86" t="s">
        <v>11</v>
      </c>
      <c r="C86" t="s">
        <v>1326</v>
      </c>
      <c r="D86" t="s">
        <v>1327</v>
      </c>
      <c r="E86">
        <v>5000</v>
      </c>
      <c r="F86" t="s">
        <v>1673</v>
      </c>
      <c r="G86" t="s">
        <v>1672</v>
      </c>
    </row>
    <row r="87" spans="2:7" x14ac:dyDescent="0.25">
      <c r="B87" t="s">
        <v>11</v>
      </c>
      <c r="C87" t="s">
        <v>1326</v>
      </c>
      <c r="D87" t="s">
        <v>1327</v>
      </c>
      <c r="E87">
        <v>4800</v>
      </c>
      <c r="F87" t="s">
        <v>1674</v>
      </c>
      <c r="G87" t="s">
        <v>1672</v>
      </c>
    </row>
    <row r="88" spans="2:7" x14ac:dyDescent="0.25">
      <c r="B88" t="s">
        <v>11</v>
      </c>
      <c r="C88" t="s">
        <v>1326</v>
      </c>
      <c r="D88" t="s">
        <v>1327</v>
      </c>
      <c r="E88">
        <v>-40</v>
      </c>
      <c r="F88" t="s">
        <v>2559</v>
      </c>
      <c r="G88" t="s">
        <v>1826</v>
      </c>
    </row>
    <row r="89" spans="2:7" x14ac:dyDescent="0.25">
      <c r="B89" t="s">
        <v>11</v>
      </c>
      <c r="C89" t="s">
        <v>1326</v>
      </c>
      <c r="D89" t="s">
        <v>1327</v>
      </c>
      <c r="E89">
        <v>-100</v>
      </c>
      <c r="F89" t="s">
        <v>2559</v>
      </c>
      <c r="G89" t="s">
        <v>1731</v>
      </c>
    </row>
    <row r="90" spans="2:7" x14ac:dyDescent="0.25">
      <c r="B90" t="s">
        <v>11</v>
      </c>
      <c r="C90" t="s">
        <v>1326</v>
      </c>
      <c r="D90" t="s">
        <v>1327</v>
      </c>
      <c r="E90">
        <v>4860</v>
      </c>
      <c r="F90" t="s">
        <v>1675</v>
      </c>
      <c r="G90" t="s">
        <v>1619</v>
      </c>
    </row>
    <row r="91" spans="2:7" x14ac:dyDescent="0.25">
      <c r="B91" t="s">
        <v>83</v>
      </c>
      <c r="C91" t="s">
        <v>991</v>
      </c>
      <c r="D91" t="s">
        <v>992</v>
      </c>
      <c r="E91">
        <v>-48</v>
      </c>
      <c r="F91" t="s">
        <v>2559</v>
      </c>
      <c r="G91" t="s">
        <v>1681</v>
      </c>
    </row>
    <row r="92" spans="2:7" x14ac:dyDescent="0.25">
      <c r="B92" t="s">
        <v>83</v>
      </c>
      <c r="C92" t="s">
        <v>242</v>
      </c>
      <c r="D92" t="s">
        <v>243</v>
      </c>
      <c r="E92">
        <v>20</v>
      </c>
      <c r="F92" t="s">
        <v>1676</v>
      </c>
      <c r="G92" t="s">
        <v>1654</v>
      </c>
    </row>
    <row r="93" spans="2:7" x14ac:dyDescent="0.25">
      <c r="B93" t="s">
        <v>83</v>
      </c>
      <c r="C93" t="s">
        <v>993</v>
      </c>
      <c r="D93" t="s">
        <v>994</v>
      </c>
      <c r="E93">
        <v>-20</v>
      </c>
      <c r="F93" t="s">
        <v>2559</v>
      </c>
      <c r="G93" t="s">
        <v>1654</v>
      </c>
    </row>
    <row r="94" spans="2:7" x14ac:dyDescent="0.25">
      <c r="B94" t="s">
        <v>623</v>
      </c>
      <c r="C94" t="s">
        <v>813</v>
      </c>
      <c r="D94" t="s">
        <v>814</v>
      </c>
      <c r="E94">
        <v>140</v>
      </c>
      <c r="F94" t="s">
        <v>1677</v>
      </c>
      <c r="G94" t="s">
        <v>1660</v>
      </c>
    </row>
    <row r="95" spans="2:7" x14ac:dyDescent="0.25">
      <c r="B95" t="s">
        <v>623</v>
      </c>
      <c r="C95" t="s">
        <v>813</v>
      </c>
      <c r="D95" t="s">
        <v>814</v>
      </c>
      <c r="E95">
        <v>15</v>
      </c>
      <c r="F95" t="s">
        <v>1678</v>
      </c>
      <c r="G95" t="s">
        <v>1631</v>
      </c>
    </row>
    <row r="96" spans="2:7" x14ac:dyDescent="0.25">
      <c r="B96" t="s">
        <v>623</v>
      </c>
      <c r="C96" t="s">
        <v>813</v>
      </c>
      <c r="D96" t="s">
        <v>814</v>
      </c>
      <c r="E96">
        <v>5</v>
      </c>
      <c r="F96" t="s">
        <v>1678</v>
      </c>
      <c r="G96" t="s">
        <v>1632</v>
      </c>
    </row>
    <row r="97" spans="2:7" x14ac:dyDescent="0.25">
      <c r="B97" t="s">
        <v>623</v>
      </c>
      <c r="C97" t="s">
        <v>813</v>
      </c>
      <c r="D97" t="s">
        <v>814</v>
      </c>
      <c r="E97">
        <v>10</v>
      </c>
      <c r="F97" t="s">
        <v>1679</v>
      </c>
      <c r="G97" t="s">
        <v>1640</v>
      </c>
    </row>
    <row r="98" spans="2:7" x14ac:dyDescent="0.25">
      <c r="B98" t="s">
        <v>623</v>
      </c>
      <c r="C98" t="s">
        <v>813</v>
      </c>
      <c r="D98" t="s">
        <v>814</v>
      </c>
      <c r="E98">
        <v>36</v>
      </c>
      <c r="F98" t="s">
        <v>1679</v>
      </c>
      <c r="G98" t="s">
        <v>1640</v>
      </c>
    </row>
    <row r="99" spans="2:7" x14ac:dyDescent="0.25">
      <c r="B99" t="s">
        <v>623</v>
      </c>
      <c r="C99" t="s">
        <v>813</v>
      </c>
      <c r="D99" t="s">
        <v>814</v>
      </c>
      <c r="E99">
        <v>80</v>
      </c>
      <c r="F99" t="s">
        <v>1680</v>
      </c>
      <c r="G99" t="s">
        <v>1681</v>
      </c>
    </row>
    <row r="100" spans="2:7" x14ac:dyDescent="0.25">
      <c r="B100" t="s">
        <v>623</v>
      </c>
      <c r="C100" t="s">
        <v>925</v>
      </c>
      <c r="D100" t="s">
        <v>926</v>
      </c>
      <c r="E100">
        <v>270</v>
      </c>
      <c r="F100" t="s">
        <v>1682</v>
      </c>
      <c r="G100" t="s">
        <v>1627</v>
      </c>
    </row>
    <row r="101" spans="2:7" x14ac:dyDescent="0.25">
      <c r="B101" t="s">
        <v>623</v>
      </c>
      <c r="C101" t="s">
        <v>925</v>
      </c>
      <c r="D101" t="s">
        <v>926</v>
      </c>
      <c r="E101">
        <v>60</v>
      </c>
      <c r="F101" t="s">
        <v>1683</v>
      </c>
      <c r="G101" t="s">
        <v>1660</v>
      </c>
    </row>
    <row r="102" spans="2:7" x14ac:dyDescent="0.25">
      <c r="B102" t="s">
        <v>623</v>
      </c>
      <c r="C102" t="s">
        <v>925</v>
      </c>
      <c r="D102" t="s">
        <v>926</v>
      </c>
      <c r="E102">
        <v>15</v>
      </c>
      <c r="F102" t="s">
        <v>1684</v>
      </c>
      <c r="G102" t="s">
        <v>1631</v>
      </c>
    </row>
    <row r="103" spans="2:7" x14ac:dyDescent="0.25">
      <c r="B103" t="s">
        <v>623</v>
      </c>
      <c r="C103" t="s">
        <v>925</v>
      </c>
      <c r="D103" t="s">
        <v>926</v>
      </c>
      <c r="E103">
        <v>360</v>
      </c>
      <c r="F103" t="s">
        <v>1684</v>
      </c>
      <c r="G103" t="s">
        <v>1632</v>
      </c>
    </row>
    <row r="104" spans="2:7" x14ac:dyDescent="0.25">
      <c r="B104" t="s">
        <v>623</v>
      </c>
      <c r="C104" t="s">
        <v>925</v>
      </c>
      <c r="D104" t="s">
        <v>926</v>
      </c>
      <c r="E104">
        <v>135</v>
      </c>
      <c r="F104" t="s">
        <v>1685</v>
      </c>
      <c r="G104" t="s">
        <v>1614</v>
      </c>
    </row>
    <row r="105" spans="2:7" x14ac:dyDescent="0.25">
      <c r="B105" t="s">
        <v>623</v>
      </c>
      <c r="C105" t="s">
        <v>925</v>
      </c>
      <c r="D105" t="s">
        <v>926</v>
      </c>
      <c r="E105">
        <v>60</v>
      </c>
      <c r="F105" t="s">
        <v>1685</v>
      </c>
      <c r="G105" t="s">
        <v>1614</v>
      </c>
    </row>
    <row r="106" spans="2:7" x14ac:dyDescent="0.25">
      <c r="B106" t="s">
        <v>623</v>
      </c>
      <c r="C106" t="s">
        <v>925</v>
      </c>
      <c r="D106" t="s">
        <v>926</v>
      </c>
      <c r="E106">
        <v>5</v>
      </c>
      <c r="F106" t="s">
        <v>1685</v>
      </c>
      <c r="G106" t="s">
        <v>1614</v>
      </c>
    </row>
    <row r="107" spans="2:7" x14ac:dyDescent="0.25">
      <c r="B107" t="s">
        <v>623</v>
      </c>
      <c r="C107" t="s">
        <v>925</v>
      </c>
      <c r="D107" t="s">
        <v>926</v>
      </c>
      <c r="E107">
        <v>260</v>
      </c>
      <c r="F107" t="s">
        <v>1686</v>
      </c>
      <c r="G107" t="s">
        <v>1654</v>
      </c>
    </row>
    <row r="108" spans="2:7" x14ac:dyDescent="0.25">
      <c r="B108" t="s">
        <v>623</v>
      </c>
      <c r="C108" t="s">
        <v>925</v>
      </c>
      <c r="D108" t="s">
        <v>926</v>
      </c>
      <c r="E108">
        <v>-5</v>
      </c>
      <c r="F108" t="s">
        <v>2559</v>
      </c>
      <c r="G108" t="s">
        <v>1646</v>
      </c>
    </row>
    <row r="109" spans="2:7" x14ac:dyDescent="0.25">
      <c r="B109" t="s">
        <v>623</v>
      </c>
      <c r="C109" t="s">
        <v>925</v>
      </c>
      <c r="D109" t="s">
        <v>926</v>
      </c>
      <c r="E109">
        <v>2325</v>
      </c>
      <c r="F109" t="s">
        <v>1687</v>
      </c>
      <c r="G109" t="s">
        <v>1681</v>
      </c>
    </row>
    <row r="110" spans="2:7" x14ac:dyDescent="0.25">
      <c r="B110" t="s">
        <v>623</v>
      </c>
      <c r="C110" t="s">
        <v>871</v>
      </c>
      <c r="D110" t="s">
        <v>872</v>
      </c>
      <c r="E110">
        <v>2900</v>
      </c>
      <c r="F110" t="s">
        <v>1688</v>
      </c>
      <c r="G110" t="s">
        <v>1627</v>
      </c>
    </row>
    <row r="111" spans="2:7" x14ac:dyDescent="0.25">
      <c r="B111" t="s">
        <v>623</v>
      </c>
      <c r="C111" t="s">
        <v>871</v>
      </c>
      <c r="D111" t="s">
        <v>872</v>
      </c>
      <c r="E111">
        <v>-400</v>
      </c>
      <c r="F111" t="s">
        <v>2559</v>
      </c>
      <c r="G111" t="s">
        <v>1631</v>
      </c>
    </row>
    <row r="112" spans="2:7" x14ac:dyDescent="0.25">
      <c r="B112" t="s">
        <v>623</v>
      </c>
      <c r="C112" t="s">
        <v>871</v>
      </c>
      <c r="D112" t="s">
        <v>872</v>
      </c>
      <c r="E112">
        <v>-200</v>
      </c>
      <c r="F112" t="s">
        <v>2559</v>
      </c>
      <c r="G112" t="s">
        <v>1614</v>
      </c>
    </row>
    <row r="113" spans="2:7" x14ac:dyDescent="0.25">
      <c r="B113" t="s">
        <v>623</v>
      </c>
      <c r="C113" t="s">
        <v>871</v>
      </c>
      <c r="D113" t="s">
        <v>872</v>
      </c>
      <c r="E113">
        <v>-300</v>
      </c>
      <c r="F113" t="s">
        <v>2559</v>
      </c>
      <c r="G113" t="s">
        <v>1634</v>
      </c>
    </row>
    <row r="114" spans="2:7" x14ac:dyDescent="0.25">
      <c r="B114" t="s">
        <v>623</v>
      </c>
      <c r="C114" t="s">
        <v>871</v>
      </c>
      <c r="D114" t="s">
        <v>872</v>
      </c>
      <c r="E114">
        <v>-260</v>
      </c>
      <c r="F114" t="s">
        <v>2559</v>
      </c>
      <c r="G114" t="s">
        <v>1654</v>
      </c>
    </row>
    <row r="115" spans="2:7" x14ac:dyDescent="0.25">
      <c r="B115" t="s">
        <v>623</v>
      </c>
      <c r="C115" t="s">
        <v>871</v>
      </c>
      <c r="D115" t="s">
        <v>872</v>
      </c>
      <c r="E115">
        <v>-140</v>
      </c>
      <c r="F115" t="s">
        <v>2559</v>
      </c>
      <c r="G115" t="s">
        <v>1646</v>
      </c>
    </row>
    <row r="116" spans="2:7" x14ac:dyDescent="0.25">
      <c r="B116" t="s">
        <v>623</v>
      </c>
      <c r="C116" t="s">
        <v>871</v>
      </c>
      <c r="D116" t="s">
        <v>872</v>
      </c>
      <c r="E116">
        <v>200</v>
      </c>
      <c r="F116" t="s">
        <v>1689</v>
      </c>
      <c r="G116" t="s">
        <v>1681</v>
      </c>
    </row>
    <row r="117" spans="2:7" x14ac:dyDescent="0.25">
      <c r="B117" t="s">
        <v>623</v>
      </c>
      <c r="C117" t="s">
        <v>871</v>
      </c>
      <c r="D117" t="s">
        <v>872</v>
      </c>
      <c r="E117">
        <v>120</v>
      </c>
      <c r="F117" t="s">
        <v>1690</v>
      </c>
      <c r="G117" t="s">
        <v>1691</v>
      </c>
    </row>
    <row r="118" spans="2:7" x14ac:dyDescent="0.25">
      <c r="B118" t="s">
        <v>623</v>
      </c>
      <c r="C118" t="s">
        <v>871</v>
      </c>
      <c r="D118" t="s">
        <v>872</v>
      </c>
      <c r="E118">
        <v>5220</v>
      </c>
      <c r="F118" t="s">
        <v>1690</v>
      </c>
      <c r="G118" t="s">
        <v>1608</v>
      </c>
    </row>
    <row r="119" spans="2:7" x14ac:dyDescent="0.25">
      <c r="B119" t="s">
        <v>623</v>
      </c>
      <c r="C119" t="s">
        <v>624</v>
      </c>
      <c r="D119" t="s">
        <v>625</v>
      </c>
      <c r="E119">
        <v>-200</v>
      </c>
      <c r="F119" t="s">
        <v>2559</v>
      </c>
      <c r="G119" t="s">
        <v>1775</v>
      </c>
    </row>
    <row r="120" spans="2:7" x14ac:dyDescent="0.25">
      <c r="B120" t="s">
        <v>623</v>
      </c>
      <c r="C120" t="s">
        <v>624</v>
      </c>
      <c r="D120" t="s">
        <v>625</v>
      </c>
      <c r="E120">
        <v>-50</v>
      </c>
      <c r="F120" t="s">
        <v>2559</v>
      </c>
      <c r="G120" t="s">
        <v>1789</v>
      </c>
    </row>
    <row r="121" spans="2:7" x14ac:dyDescent="0.25">
      <c r="B121" t="s">
        <v>623</v>
      </c>
      <c r="C121" t="s">
        <v>624</v>
      </c>
      <c r="D121" t="s">
        <v>625</v>
      </c>
      <c r="E121">
        <v>300</v>
      </c>
      <c r="F121" t="s">
        <v>1692</v>
      </c>
      <c r="G121" t="s">
        <v>1634</v>
      </c>
    </row>
    <row r="122" spans="2:7" x14ac:dyDescent="0.25">
      <c r="B122" t="s">
        <v>52</v>
      </c>
      <c r="C122" t="s">
        <v>815</v>
      </c>
      <c r="D122" t="s">
        <v>816</v>
      </c>
      <c r="E122">
        <v>-300</v>
      </c>
      <c r="F122" t="s">
        <v>2559</v>
      </c>
      <c r="G122" t="s">
        <v>1786</v>
      </c>
    </row>
    <row r="123" spans="2:7" x14ac:dyDescent="0.25">
      <c r="B123" t="s">
        <v>52</v>
      </c>
      <c r="C123" t="s">
        <v>592</v>
      </c>
      <c r="D123" t="s">
        <v>593</v>
      </c>
      <c r="E123">
        <v>95</v>
      </c>
      <c r="F123" t="s">
        <v>1693</v>
      </c>
      <c r="G123" t="s">
        <v>1694</v>
      </c>
    </row>
    <row r="124" spans="2:7" x14ac:dyDescent="0.25">
      <c r="B124" t="s">
        <v>52</v>
      </c>
      <c r="C124" t="s">
        <v>578</v>
      </c>
      <c r="D124" t="s">
        <v>579</v>
      </c>
      <c r="E124">
        <v>240</v>
      </c>
      <c r="F124" t="s">
        <v>1695</v>
      </c>
      <c r="G124" t="s">
        <v>1629</v>
      </c>
    </row>
    <row r="125" spans="2:7" x14ac:dyDescent="0.25">
      <c r="B125" t="s">
        <v>52</v>
      </c>
      <c r="C125" t="s">
        <v>722</v>
      </c>
      <c r="D125" t="s">
        <v>723</v>
      </c>
      <c r="E125">
        <v>-240</v>
      </c>
      <c r="F125" t="s">
        <v>2559</v>
      </c>
      <c r="G125" t="s">
        <v>1984</v>
      </c>
    </row>
    <row r="126" spans="2:7" x14ac:dyDescent="0.25">
      <c r="B126" t="s">
        <v>52</v>
      </c>
      <c r="C126" t="s">
        <v>722</v>
      </c>
      <c r="D126" t="s">
        <v>723</v>
      </c>
      <c r="E126">
        <v>200</v>
      </c>
      <c r="F126" t="s">
        <v>1696</v>
      </c>
      <c r="G126" t="s">
        <v>1697</v>
      </c>
    </row>
    <row r="127" spans="2:7" x14ac:dyDescent="0.25">
      <c r="B127" t="s">
        <v>52</v>
      </c>
      <c r="C127" t="s">
        <v>722</v>
      </c>
      <c r="D127" t="s">
        <v>723</v>
      </c>
      <c r="E127">
        <v>-80</v>
      </c>
      <c r="F127" t="s">
        <v>2559</v>
      </c>
      <c r="G127" t="s">
        <v>1681</v>
      </c>
    </row>
    <row r="128" spans="2:7" x14ac:dyDescent="0.25">
      <c r="B128" t="s">
        <v>52</v>
      </c>
      <c r="C128" t="s">
        <v>722</v>
      </c>
      <c r="D128" t="s">
        <v>723</v>
      </c>
      <c r="E128">
        <v>-200</v>
      </c>
      <c r="F128" t="s">
        <v>2559</v>
      </c>
      <c r="G128" t="s">
        <v>1681</v>
      </c>
    </row>
    <row r="129" spans="2:7" x14ac:dyDescent="0.25">
      <c r="B129" t="s">
        <v>52</v>
      </c>
      <c r="C129" t="s">
        <v>873</v>
      </c>
      <c r="D129" t="s">
        <v>874</v>
      </c>
      <c r="E129">
        <v>80</v>
      </c>
      <c r="F129" t="s">
        <v>1698</v>
      </c>
      <c r="G129" t="s">
        <v>1612</v>
      </c>
    </row>
    <row r="130" spans="2:7" x14ac:dyDescent="0.25">
      <c r="B130" t="s">
        <v>52</v>
      </c>
      <c r="C130" t="s">
        <v>819</v>
      </c>
      <c r="D130" t="s">
        <v>820</v>
      </c>
      <c r="E130">
        <v>195</v>
      </c>
      <c r="F130" t="s">
        <v>1699</v>
      </c>
      <c r="G130" t="s">
        <v>1612</v>
      </c>
    </row>
    <row r="131" spans="2:7" x14ac:dyDescent="0.25">
      <c r="B131" t="s">
        <v>521</v>
      </c>
      <c r="C131" t="s">
        <v>1206</v>
      </c>
      <c r="D131" t="s">
        <v>1207</v>
      </c>
      <c r="E131">
        <v>20</v>
      </c>
      <c r="F131" t="s">
        <v>1700</v>
      </c>
      <c r="G131" t="s">
        <v>1629</v>
      </c>
    </row>
    <row r="132" spans="2:7" x14ac:dyDescent="0.25">
      <c r="B132" t="s">
        <v>521</v>
      </c>
      <c r="C132" t="s">
        <v>1206</v>
      </c>
      <c r="D132" t="s">
        <v>1207</v>
      </c>
      <c r="E132">
        <v>1318</v>
      </c>
      <c r="F132" t="s">
        <v>1701</v>
      </c>
      <c r="G132" t="s">
        <v>1651</v>
      </c>
    </row>
    <row r="133" spans="2:7" x14ac:dyDescent="0.25">
      <c r="B133" t="s">
        <v>521</v>
      </c>
      <c r="C133" t="s">
        <v>1206</v>
      </c>
      <c r="D133" t="s">
        <v>1207</v>
      </c>
      <c r="E133">
        <v>-2</v>
      </c>
      <c r="F133" t="s">
        <v>2559</v>
      </c>
      <c r="G133" t="s">
        <v>1651</v>
      </c>
    </row>
    <row r="134" spans="2:7" x14ac:dyDescent="0.25">
      <c r="B134" t="s">
        <v>521</v>
      </c>
      <c r="C134" t="s">
        <v>821</v>
      </c>
      <c r="D134" t="s">
        <v>822</v>
      </c>
      <c r="E134">
        <v>1320</v>
      </c>
      <c r="F134" t="s">
        <v>1702</v>
      </c>
      <c r="G134" t="s">
        <v>1606</v>
      </c>
    </row>
    <row r="135" spans="2:7" x14ac:dyDescent="0.25">
      <c r="B135" t="s">
        <v>521</v>
      </c>
      <c r="C135" t="s">
        <v>877</v>
      </c>
      <c r="D135" t="s">
        <v>878</v>
      </c>
      <c r="E135">
        <v>-20</v>
      </c>
      <c r="F135" t="s">
        <v>2559</v>
      </c>
      <c r="G135" t="s">
        <v>1984</v>
      </c>
    </row>
    <row r="136" spans="2:7" x14ac:dyDescent="0.25">
      <c r="B136" t="s">
        <v>521</v>
      </c>
      <c r="C136" t="s">
        <v>877</v>
      </c>
      <c r="D136" t="s">
        <v>878</v>
      </c>
      <c r="E136">
        <v>1340</v>
      </c>
      <c r="F136" t="s">
        <v>1703</v>
      </c>
      <c r="G136" t="s">
        <v>1651</v>
      </c>
    </row>
    <row r="137" spans="2:7" x14ac:dyDescent="0.25">
      <c r="B137" t="s">
        <v>161</v>
      </c>
      <c r="C137" t="s">
        <v>162</v>
      </c>
      <c r="D137" t="s">
        <v>163</v>
      </c>
      <c r="E137">
        <v>1</v>
      </c>
      <c r="F137" t="s">
        <v>1704</v>
      </c>
      <c r="G137" t="s">
        <v>1631</v>
      </c>
    </row>
    <row r="138" spans="2:7" x14ac:dyDescent="0.25">
      <c r="B138" t="s">
        <v>161</v>
      </c>
      <c r="C138" t="s">
        <v>1336</v>
      </c>
      <c r="D138" t="s">
        <v>1337</v>
      </c>
      <c r="E138">
        <v>1880</v>
      </c>
      <c r="F138" t="s">
        <v>1705</v>
      </c>
      <c r="G138" t="s">
        <v>1706</v>
      </c>
    </row>
    <row r="139" spans="2:7" x14ac:dyDescent="0.25">
      <c r="B139" t="s">
        <v>161</v>
      </c>
      <c r="C139" t="s">
        <v>1336</v>
      </c>
      <c r="D139" t="s">
        <v>1337</v>
      </c>
      <c r="E139">
        <v>-840</v>
      </c>
      <c r="F139" t="s">
        <v>2559</v>
      </c>
      <c r="G139" t="s">
        <v>1736</v>
      </c>
    </row>
    <row r="140" spans="2:7" x14ac:dyDescent="0.25">
      <c r="B140" t="s">
        <v>161</v>
      </c>
      <c r="C140" t="s">
        <v>1336</v>
      </c>
      <c r="D140" t="s">
        <v>1337</v>
      </c>
      <c r="E140">
        <v>-1040</v>
      </c>
      <c r="F140" t="s">
        <v>2559</v>
      </c>
      <c r="G140" t="s">
        <v>1622</v>
      </c>
    </row>
    <row r="141" spans="2:7" x14ac:dyDescent="0.25">
      <c r="B141" t="s">
        <v>161</v>
      </c>
      <c r="C141" t="s">
        <v>1336</v>
      </c>
      <c r="D141" t="s">
        <v>1337</v>
      </c>
      <c r="E141">
        <v>420</v>
      </c>
      <c r="F141" t="s">
        <v>1707</v>
      </c>
      <c r="G141" t="s">
        <v>1608</v>
      </c>
    </row>
    <row r="142" spans="2:7" x14ac:dyDescent="0.25">
      <c r="B142" t="s">
        <v>161</v>
      </c>
      <c r="C142" t="s">
        <v>1336</v>
      </c>
      <c r="D142" t="s">
        <v>1337</v>
      </c>
      <c r="E142">
        <v>1820</v>
      </c>
      <c r="F142" t="s">
        <v>1707</v>
      </c>
      <c r="G142" t="s">
        <v>1608</v>
      </c>
    </row>
    <row r="143" spans="2:7" x14ac:dyDescent="0.25">
      <c r="B143" t="s">
        <v>161</v>
      </c>
      <c r="C143" t="s">
        <v>827</v>
      </c>
      <c r="D143" t="s">
        <v>828</v>
      </c>
      <c r="E143">
        <v>2000</v>
      </c>
      <c r="F143" t="s">
        <v>1708</v>
      </c>
      <c r="G143" t="s">
        <v>1706</v>
      </c>
    </row>
    <row r="144" spans="2:7" x14ac:dyDescent="0.25">
      <c r="B144" t="s">
        <v>161</v>
      </c>
      <c r="C144" t="s">
        <v>827</v>
      </c>
      <c r="D144" t="s">
        <v>828</v>
      </c>
      <c r="E144">
        <v>840</v>
      </c>
      <c r="F144" t="s">
        <v>1709</v>
      </c>
      <c r="G144" t="s">
        <v>1697</v>
      </c>
    </row>
    <row r="145" spans="2:7" x14ac:dyDescent="0.25">
      <c r="B145" t="s">
        <v>161</v>
      </c>
      <c r="C145" t="s">
        <v>827</v>
      </c>
      <c r="D145" t="s">
        <v>828</v>
      </c>
      <c r="E145">
        <v>1040</v>
      </c>
      <c r="F145" t="s">
        <v>1710</v>
      </c>
      <c r="G145" t="s">
        <v>1622</v>
      </c>
    </row>
    <row r="146" spans="2:7" x14ac:dyDescent="0.25">
      <c r="B146" t="s">
        <v>161</v>
      </c>
      <c r="C146" t="s">
        <v>827</v>
      </c>
      <c r="D146" t="s">
        <v>828</v>
      </c>
      <c r="E146">
        <v>1680</v>
      </c>
      <c r="F146" t="s">
        <v>1711</v>
      </c>
      <c r="G146" t="s">
        <v>1712</v>
      </c>
    </row>
    <row r="147" spans="2:7" x14ac:dyDescent="0.25">
      <c r="B147" t="s">
        <v>209</v>
      </c>
      <c r="C147" t="s">
        <v>850</v>
      </c>
      <c r="D147" t="s">
        <v>851</v>
      </c>
      <c r="E147">
        <v>12</v>
      </c>
      <c r="F147" t="s">
        <v>1713</v>
      </c>
      <c r="G147" t="s">
        <v>1614</v>
      </c>
    </row>
    <row r="148" spans="2:7" x14ac:dyDescent="0.25">
      <c r="B148" t="s">
        <v>209</v>
      </c>
      <c r="C148" t="s">
        <v>850</v>
      </c>
      <c r="D148" t="s">
        <v>851</v>
      </c>
      <c r="E148">
        <v>7</v>
      </c>
      <c r="F148" t="s">
        <v>1713</v>
      </c>
      <c r="G148" t="s">
        <v>1614</v>
      </c>
    </row>
    <row r="149" spans="2:7" x14ac:dyDescent="0.25">
      <c r="B149" t="s">
        <v>209</v>
      </c>
      <c r="C149" t="s">
        <v>850</v>
      </c>
      <c r="D149" t="s">
        <v>851</v>
      </c>
      <c r="E149">
        <v>60</v>
      </c>
      <c r="F149" t="s">
        <v>1714</v>
      </c>
      <c r="G149" t="s">
        <v>1694</v>
      </c>
    </row>
    <row r="150" spans="2:7" x14ac:dyDescent="0.25">
      <c r="B150" t="s">
        <v>209</v>
      </c>
      <c r="C150" t="s">
        <v>850</v>
      </c>
      <c r="D150" t="s">
        <v>851</v>
      </c>
      <c r="E150">
        <v>24</v>
      </c>
      <c r="F150" t="s">
        <v>1715</v>
      </c>
      <c r="G150" t="s">
        <v>1622</v>
      </c>
    </row>
    <row r="151" spans="2:7" x14ac:dyDescent="0.25">
      <c r="B151" t="s">
        <v>209</v>
      </c>
      <c r="C151" t="s">
        <v>850</v>
      </c>
      <c r="D151" t="s">
        <v>851</v>
      </c>
      <c r="E151">
        <v>12</v>
      </c>
      <c r="F151" t="s">
        <v>1716</v>
      </c>
      <c r="G151" t="s">
        <v>1624</v>
      </c>
    </row>
    <row r="152" spans="2:7" x14ac:dyDescent="0.25">
      <c r="B152" t="s">
        <v>209</v>
      </c>
      <c r="C152" t="s">
        <v>965</v>
      </c>
      <c r="D152" t="s">
        <v>966</v>
      </c>
      <c r="E152">
        <v>40</v>
      </c>
      <c r="F152" t="s">
        <v>1717</v>
      </c>
      <c r="G152" t="s">
        <v>1718</v>
      </c>
    </row>
    <row r="153" spans="2:7" x14ac:dyDescent="0.25">
      <c r="B153" t="s">
        <v>209</v>
      </c>
      <c r="C153" t="s">
        <v>965</v>
      </c>
      <c r="D153" t="s">
        <v>966</v>
      </c>
      <c r="E153">
        <v>20</v>
      </c>
      <c r="F153" t="s">
        <v>1719</v>
      </c>
      <c r="G153" t="s">
        <v>1720</v>
      </c>
    </row>
    <row r="154" spans="2:7" x14ac:dyDescent="0.25">
      <c r="B154" t="s">
        <v>209</v>
      </c>
      <c r="C154" t="s">
        <v>965</v>
      </c>
      <c r="D154" t="s">
        <v>966</v>
      </c>
      <c r="E154">
        <v>20</v>
      </c>
      <c r="F154" t="s">
        <v>1719</v>
      </c>
      <c r="G154" t="s">
        <v>1720</v>
      </c>
    </row>
    <row r="155" spans="2:7" x14ac:dyDescent="0.25">
      <c r="B155" t="s">
        <v>209</v>
      </c>
      <c r="C155" t="s">
        <v>965</v>
      </c>
      <c r="D155" t="s">
        <v>966</v>
      </c>
      <c r="E155">
        <v>100</v>
      </c>
      <c r="F155" t="s">
        <v>1721</v>
      </c>
      <c r="G155" t="s">
        <v>1616</v>
      </c>
    </row>
    <row r="156" spans="2:7" x14ac:dyDescent="0.25">
      <c r="B156" t="s">
        <v>209</v>
      </c>
      <c r="C156" t="s">
        <v>210</v>
      </c>
      <c r="D156" t="s">
        <v>211</v>
      </c>
      <c r="E156">
        <v>-40</v>
      </c>
      <c r="F156" t="s">
        <v>2559</v>
      </c>
      <c r="G156" t="s">
        <v>1751</v>
      </c>
    </row>
    <row r="157" spans="2:7" x14ac:dyDescent="0.25">
      <c r="B157" t="s">
        <v>209</v>
      </c>
      <c r="C157" t="s">
        <v>210</v>
      </c>
      <c r="D157" t="s">
        <v>211</v>
      </c>
      <c r="E157">
        <v>-20</v>
      </c>
      <c r="F157" t="s">
        <v>2559</v>
      </c>
      <c r="G157" t="s">
        <v>1614</v>
      </c>
    </row>
    <row r="158" spans="2:7" x14ac:dyDescent="0.25">
      <c r="B158" t="s">
        <v>209</v>
      </c>
      <c r="C158" t="s">
        <v>210</v>
      </c>
      <c r="D158" t="s">
        <v>211</v>
      </c>
      <c r="E158">
        <v>-40</v>
      </c>
      <c r="F158" t="s">
        <v>2559</v>
      </c>
      <c r="G158" t="s">
        <v>1720</v>
      </c>
    </row>
    <row r="159" spans="2:7" x14ac:dyDescent="0.25">
      <c r="B159" t="s">
        <v>209</v>
      </c>
      <c r="C159" t="s">
        <v>210</v>
      </c>
      <c r="D159" t="s">
        <v>211</v>
      </c>
      <c r="E159">
        <v>-60</v>
      </c>
      <c r="F159" t="s">
        <v>2559</v>
      </c>
      <c r="G159" t="s">
        <v>1786</v>
      </c>
    </row>
    <row r="160" spans="2:7" x14ac:dyDescent="0.25">
      <c r="B160" t="s">
        <v>209</v>
      </c>
      <c r="C160" t="s">
        <v>210</v>
      </c>
      <c r="D160" t="s">
        <v>211</v>
      </c>
      <c r="E160">
        <v>-100</v>
      </c>
      <c r="F160" t="s">
        <v>2559</v>
      </c>
      <c r="G160" t="s">
        <v>1731</v>
      </c>
    </row>
    <row r="161" spans="2:7" x14ac:dyDescent="0.25">
      <c r="B161" t="s">
        <v>209</v>
      </c>
      <c r="C161" t="s">
        <v>210</v>
      </c>
      <c r="D161" t="s">
        <v>211</v>
      </c>
      <c r="E161">
        <v>680</v>
      </c>
      <c r="F161" t="s">
        <v>1722</v>
      </c>
      <c r="G161" t="s">
        <v>1654</v>
      </c>
    </row>
    <row r="162" spans="2:7" x14ac:dyDescent="0.25">
      <c r="B162" t="s">
        <v>55</v>
      </c>
      <c r="C162" t="s">
        <v>492</v>
      </c>
      <c r="D162" t="s">
        <v>493</v>
      </c>
      <c r="E162">
        <v>-2</v>
      </c>
      <c r="F162" t="s">
        <v>2559</v>
      </c>
      <c r="G162" t="s">
        <v>1619</v>
      </c>
    </row>
    <row r="163" spans="2:7" x14ac:dyDescent="0.25">
      <c r="B163" t="s">
        <v>8</v>
      </c>
      <c r="C163" t="s">
        <v>1078</v>
      </c>
      <c r="D163" t="s">
        <v>1079</v>
      </c>
      <c r="E163">
        <v>10000</v>
      </c>
      <c r="F163" t="s">
        <v>1723</v>
      </c>
      <c r="G163" t="s">
        <v>1724</v>
      </c>
    </row>
    <row r="164" spans="2:7" x14ac:dyDescent="0.25">
      <c r="B164" t="s">
        <v>8</v>
      </c>
      <c r="C164" t="s">
        <v>1078</v>
      </c>
      <c r="D164" t="s">
        <v>1079</v>
      </c>
      <c r="E164">
        <v>9800</v>
      </c>
      <c r="F164" t="s">
        <v>1725</v>
      </c>
      <c r="G164" t="s">
        <v>1724</v>
      </c>
    </row>
    <row r="165" spans="2:7" x14ac:dyDescent="0.25">
      <c r="B165" t="s">
        <v>8</v>
      </c>
      <c r="C165" t="s">
        <v>1078</v>
      </c>
      <c r="D165" t="s">
        <v>1079</v>
      </c>
      <c r="E165">
        <v>10000</v>
      </c>
      <c r="F165" t="s">
        <v>1726</v>
      </c>
      <c r="G165" t="s">
        <v>1634</v>
      </c>
    </row>
    <row r="166" spans="2:7" x14ac:dyDescent="0.25">
      <c r="B166" t="s">
        <v>8</v>
      </c>
      <c r="C166" t="s">
        <v>1078</v>
      </c>
      <c r="D166" t="s">
        <v>1079</v>
      </c>
      <c r="E166">
        <v>10000</v>
      </c>
      <c r="F166" t="s">
        <v>1727</v>
      </c>
      <c r="G166" t="s">
        <v>1634</v>
      </c>
    </row>
    <row r="167" spans="2:7" x14ac:dyDescent="0.25">
      <c r="B167" t="s">
        <v>8</v>
      </c>
      <c r="C167" t="s">
        <v>1078</v>
      </c>
      <c r="D167" t="s">
        <v>1079</v>
      </c>
      <c r="E167">
        <v>10000</v>
      </c>
      <c r="F167" t="s">
        <v>1728</v>
      </c>
      <c r="G167" t="s">
        <v>1634</v>
      </c>
    </row>
    <row r="168" spans="2:7" x14ac:dyDescent="0.25">
      <c r="B168" t="s">
        <v>8</v>
      </c>
      <c r="C168" t="s">
        <v>1078</v>
      </c>
      <c r="D168" t="s">
        <v>1079</v>
      </c>
      <c r="E168">
        <v>10000</v>
      </c>
      <c r="F168" t="s">
        <v>1729</v>
      </c>
      <c r="G168" t="s">
        <v>1720</v>
      </c>
    </row>
    <row r="169" spans="2:7" x14ac:dyDescent="0.25">
      <c r="B169" t="s">
        <v>8</v>
      </c>
      <c r="C169" t="s">
        <v>1078</v>
      </c>
      <c r="D169" t="s">
        <v>1079</v>
      </c>
      <c r="E169">
        <v>6000</v>
      </c>
      <c r="F169" t="s">
        <v>1730</v>
      </c>
      <c r="G169" t="s">
        <v>1731</v>
      </c>
    </row>
    <row r="170" spans="2:7" x14ac:dyDescent="0.25">
      <c r="B170" t="s">
        <v>8</v>
      </c>
      <c r="C170" t="s">
        <v>1078</v>
      </c>
      <c r="D170" t="s">
        <v>1079</v>
      </c>
      <c r="E170">
        <v>4000</v>
      </c>
      <c r="F170" t="s">
        <v>1730</v>
      </c>
      <c r="G170" t="s">
        <v>1616</v>
      </c>
    </row>
    <row r="171" spans="2:7" x14ac:dyDescent="0.25">
      <c r="B171" t="s">
        <v>8</v>
      </c>
      <c r="C171" t="s">
        <v>1078</v>
      </c>
      <c r="D171" t="s">
        <v>1079</v>
      </c>
      <c r="E171">
        <v>10000</v>
      </c>
      <c r="F171" t="s">
        <v>1732</v>
      </c>
      <c r="G171" t="s">
        <v>1606</v>
      </c>
    </row>
    <row r="172" spans="2:7" x14ac:dyDescent="0.25">
      <c r="B172" t="s">
        <v>8</v>
      </c>
      <c r="C172" t="s">
        <v>1078</v>
      </c>
      <c r="D172" t="s">
        <v>1079</v>
      </c>
      <c r="E172">
        <v>10000</v>
      </c>
      <c r="F172" t="s">
        <v>1733</v>
      </c>
      <c r="G172" t="s">
        <v>1606</v>
      </c>
    </row>
    <row r="173" spans="2:7" x14ac:dyDescent="0.25">
      <c r="B173" t="s">
        <v>8</v>
      </c>
      <c r="C173" t="s">
        <v>1078</v>
      </c>
      <c r="D173" t="s">
        <v>1079</v>
      </c>
      <c r="E173">
        <v>5400</v>
      </c>
      <c r="F173" t="s">
        <v>1734</v>
      </c>
      <c r="G173" t="s">
        <v>1606</v>
      </c>
    </row>
    <row r="174" spans="2:7" x14ac:dyDescent="0.25">
      <c r="B174" t="s">
        <v>8</v>
      </c>
      <c r="C174" t="s">
        <v>1078</v>
      </c>
      <c r="D174" t="s">
        <v>1079</v>
      </c>
      <c r="E174">
        <v>8000</v>
      </c>
      <c r="F174" t="s">
        <v>1735</v>
      </c>
      <c r="G174" t="s">
        <v>1651</v>
      </c>
    </row>
    <row r="175" spans="2:7" x14ac:dyDescent="0.25">
      <c r="B175" t="s">
        <v>8</v>
      </c>
      <c r="C175" t="s">
        <v>1078</v>
      </c>
      <c r="D175" t="s">
        <v>1079</v>
      </c>
      <c r="E175">
        <v>2000</v>
      </c>
      <c r="F175" t="s">
        <v>1735</v>
      </c>
      <c r="G175" t="s">
        <v>1736</v>
      </c>
    </row>
    <row r="176" spans="2:7" x14ac:dyDescent="0.25">
      <c r="B176" t="s">
        <v>8</v>
      </c>
      <c r="C176" t="s">
        <v>1078</v>
      </c>
      <c r="D176" t="s">
        <v>1079</v>
      </c>
      <c r="E176">
        <v>7520</v>
      </c>
      <c r="F176" t="s">
        <v>1737</v>
      </c>
      <c r="G176" t="s">
        <v>1736</v>
      </c>
    </row>
    <row r="177" spans="2:7" x14ac:dyDescent="0.25">
      <c r="B177" t="s">
        <v>8</v>
      </c>
      <c r="C177" t="s">
        <v>1078</v>
      </c>
      <c r="D177" t="s">
        <v>1079</v>
      </c>
      <c r="E177">
        <v>10000</v>
      </c>
      <c r="F177" t="s">
        <v>1738</v>
      </c>
      <c r="G177" t="s">
        <v>1739</v>
      </c>
    </row>
    <row r="178" spans="2:7" x14ac:dyDescent="0.25">
      <c r="B178" t="s">
        <v>8</v>
      </c>
      <c r="C178" t="s">
        <v>1078</v>
      </c>
      <c r="D178" t="s">
        <v>1079</v>
      </c>
      <c r="E178">
        <v>10000</v>
      </c>
      <c r="F178" t="s">
        <v>1740</v>
      </c>
      <c r="G178" t="s">
        <v>1694</v>
      </c>
    </row>
    <row r="179" spans="2:7" x14ac:dyDescent="0.25">
      <c r="B179" t="s">
        <v>8</v>
      </c>
      <c r="C179" t="s">
        <v>1340</v>
      </c>
      <c r="D179" t="s">
        <v>1341</v>
      </c>
      <c r="E179">
        <v>160</v>
      </c>
      <c r="F179" t="s">
        <v>1741</v>
      </c>
      <c r="G179" t="s">
        <v>1742</v>
      </c>
    </row>
    <row r="180" spans="2:7" x14ac:dyDescent="0.25">
      <c r="B180" t="s">
        <v>8</v>
      </c>
      <c r="C180" t="s">
        <v>1340</v>
      </c>
      <c r="D180" t="s">
        <v>1341</v>
      </c>
      <c r="E180">
        <v>300</v>
      </c>
      <c r="F180" t="s">
        <v>1743</v>
      </c>
      <c r="G180" t="s">
        <v>1616</v>
      </c>
    </row>
    <row r="181" spans="2:7" x14ac:dyDescent="0.25">
      <c r="B181" t="s">
        <v>8</v>
      </c>
      <c r="C181" t="s">
        <v>1340</v>
      </c>
      <c r="D181" t="s">
        <v>1341</v>
      </c>
      <c r="E181">
        <v>2500</v>
      </c>
      <c r="F181" t="s">
        <v>1744</v>
      </c>
      <c r="G181" t="s">
        <v>1736</v>
      </c>
    </row>
    <row r="182" spans="2:7" x14ac:dyDescent="0.25">
      <c r="B182" t="s">
        <v>8</v>
      </c>
      <c r="C182" t="s">
        <v>605</v>
      </c>
      <c r="D182" t="s">
        <v>606</v>
      </c>
      <c r="E182">
        <v>10000</v>
      </c>
      <c r="F182" t="s">
        <v>1745</v>
      </c>
      <c r="G182" t="s">
        <v>1746</v>
      </c>
    </row>
    <row r="183" spans="2:7" x14ac:dyDescent="0.25">
      <c r="B183" t="s">
        <v>8</v>
      </c>
      <c r="C183" t="s">
        <v>605</v>
      </c>
      <c r="D183" t="s">
        <v>606</v>
      </c>
      <c r="E183">
        <v>10000</v>
      </c>
      <c r="F183" t="s">
        <v>1747</v>
      </c>
      <c r="G183" t="s">
        <v>1746</v>
      </c>
    </row>
    <row r="184" spans="2:7" x14ac:dyDescent="0.25">
      <c r="B184" t="s">
        <v>8</v>
      </c>
      <c r="C184" t="s">
        <v>605</v>
      </c>
      <c r="D184" t="s">
        <v>606</v>
      </c>
      <c r="E184">
        <v>10420</v>
      </c>
      <c r="F184" t="s">
        <v>1748</v>
      </c>
      <c r="G184" t="s">
        <v>1746</v>
      </c>
    </row>
    <row r="185" spans="2:7" x14ac:dyDescent="0.25">
      <c r="B185" t="s">
        <v>8</v>
      </c>
      <c r="C185" t="s">
        <v>605</v>
      </c>
      <c r="D185" t="s">
        <v>606</v>
      </c>
      <c r="E185">
        <v>10160</v>
      </c>
      <c r="F185" t="s">
        <v>1749</v>
      </c>
      <c r="G185" t="s">
        <v>1746</v>
      </c>
    </row>
    <row r="186" spans="2:7" x14ac:dyDescent="0.25">
      <c r="B186" t="s">
        <v>8</v>
      </c>
      <c r="C186" t="s">
        <v>605</v>
      </c>
      <c r="D186" t="s">
        <v>606</v>
      </c>
      <c r="E186">
        <v>80</v>
      </c>
      <c r="F186" t="s">
        <v>1750</v>
      </c>
      <c r="G186" t="s">
        <v>1751</v>
      </c>
    </row>
    <row r="187" spans="2:7" x14ac:dyDescent="0.25">
      <c r="B187" t="s">
        <v>8</v>
      </c>
      <c r="C187" t="s">
        <v>605</v>
      </c>
      <c r="D187" t="s">
        <v>606</v>
      </c>
      <c r="E187">
        <v>9920</v>
      </c>
      <c r="F187" t="s">
        <v>1750</v>
      </c>
      <c r="G187" t="s">
        <v>1752</v>
      </c>
    </row>
    <row r="188" spans="2:7" x14ac:dyDescent="0.25">
      <c r="B188" t="s">
        <v>8</v>
      </c>
      <c r="C188" t="s">
        <v>605</v>
      </c>
      <c r="D188" t="s">
        <v>606</v>
      </c>
      <c r="E188">
        <v>9760</v>
      </c>
      <c r="F188" t="s">
        <v>1762</v>
      </c>
      <c r="G188" t="s">
        <v>1718</v>
      </c>
    </row>
    <row r="189" spans="2:7" x14ac:dyDescent="0.25">
      <c r="B189" t="s">
        <v>8</v>
      </c>
      <c r="C189" t="s">
        <v>605</v>
      </c>
      <c r="D189" t="s">
        <v>606</v>
      </c>
      <c r="E189">
        <v>10000</v>
      </c>
      <c r="F189" t="s">
        <v>1753</v>
      </c>
      <c r="G189" t="s">
        <v>1718</v>
      </c>
    </row>
    <row r="190" spans="2:7" x14ac:dyDescent="0.25">
      <c r="B190" t="s">
        <v>8</v>
      </c>
      <c r="C190" t="s">
        <v>605</v>
      </c>
      <c r="D190" t="s">
        <v>606</v>
      </c>
      <c r="E190">
        <v>1000</v>
      </c>
      <c r="F190" t="s">
        <v>1754</v>
      </c>
      <c r="G190" t="s">
        <v>1718</v>
      </c>
    </row>
    <row r="191" spans="2:7" x14ac:dyDescent="0.25">
      <c r="B191" t="s">
        <v>8</v>
      </c>
      <c r="C191" t="s">
        <v>605</v>
      </c>
      <c r="D191" t="s">
        <v>606</v>
      </c>
      <c r="E191">
        <v>10000</v>
      </c>
      <c r="F191" t="s">
        <v>1755</v>
      </c>
      <c r="G191" t="s">
        <v>1756</v>
      </c>
    </row>
    <row r="192" spans="2:7" x14ac:dyDescent="0.25">
      <c r="B192" t="s">
        <v>8</v>
      </c>
      <c r="C192" t="s">
        <v>605</v>
      </c>
      <c r="D192" t="s">
        <v>606</v>
      </c>
      <c r="E192">
        <v>5000</v>
      </c>
      <c r="F192" t="s">
        <v>1757</v>
      </c>
      <c r="G192" t="s">
        <v>1756</v>
      </c>
    </row>
    <row r="193" spans="2:7" x14ac:dyDescent="0.25">
      <c r="B193" t="s">
        <v>8</v>
      </c>
      <c r="C193" t="s">
        <v>605</v>
      </c>
      <c r="D193" t="s">
        <v>606</v>
      </c>
      <c r="E193">
        <v>10020</v>
      </c>
      <c r="F193" t="s">
        <v>1768</v>
      </c>
      <c r="G193" t="s">
        <v>1629</v>
      </c>
    </row>
    <row r="194" spans="2:7" x14ac:dyDescent="0.25">
      <c r="B194" t="s">
        <v>8</v>
      </c>
      <c r="C194" t="s">
        <v>605</v>
      </c>
      <c r="D194" t="s">
        <v>606</v>
      </c>
      <c r="E194">
        <v>10000</v>
      </c>
      <c r="F194" t="s">
        <v>1758</v>
      </c>
      <c r="G194" t="s">
        <v>1629</v>
      </c>
    </row>
    <row r="195" spans="2:7" x14ac:dyDescent="0.25">
      <c r="B195" t="s">
        <v>8</v>
      </c>
      <c r="C195" t="s">
        <v>605</v>
      </c>
      <c r="D195" t="s">
        <v>606</v>
      </c>
      <c r="E195">
        <v>10080</v>
      </c>
      <c r="F195" t="s">
        <v>1759</v>
      </c>
      <c r="G195" t="s">
        <v>1629</v>
      </c>
    </row>
    <row r="196" spans="2:7" x14ac:dyDescent="0.25">
      <c r="B196" t="s">
        <v>8</v>
      </c>
      <c r="C196" t="s">
        <v>605</v>
      </c>
      <c r="D196" t="s">
        <v>606</v>
      </c>
      <c r="E196">
        <v>10120</v>
      </c>
      <c r="F196" t="s">
        <v>1760</v>
      </c>
      <c r="G196" t="s">
        <v>1629</v>
      </c>
    </row>
    <row r="197" spans="2:7" x14ac:dyDescent="0.25">
      <c r="B197" t="s">
        <v>8</v>
      </c>
      <c r="C197" t="s">
        <v>605</v>
      </c>
      <c r="D197" t="s">
        <v>606</v>
      </c>
      <c r="E197">
        <v>10000</v>
      </c>
      <c r="F197" t="s">
        <v>1761</v>
      </c>
      <c r="G197" t="s">
        <v>1629</v>
      </c>
    </row>
    <row r="198" spans="2:7" x14ac:dyDescent="0.25">
      <c r="B198" t="s">
        <v>8</v>
      </c>
      <c r="C198" t="s">
        <v>605</v>
      </c>
      <c r="D198" t="s">
        <v>606</v>
      </c>
      <c r="E198">
        <v>9000</v>
      </c>
      <c r="F198" t="s">
        <v>1754</v>
      </c>
      <c r="G198" t="s">
        <v>1752</v>
      </c>
    </row>
    <row r="199" spans="2:7" x14ac:dyDescent="0.25">
      <c r="B199" t="s">
        <v>8</v>
      </c>
      <c r="C199" t="s">
        <v>605</v>
      </c>
      <c r="D199" t="s">
        <v>606</v>
      </c>
      <c r="E199">
        <v>9000</v>
      </c>
      <c r="F199" t="s">
        <v>1763</v>
      </c>
      <c r="G199" t="s">
        <v>1775</v>
      </c>
    </row>
    <row r="200" spans="2:7" x14ac:dyDescent="0.25">
      <c r="B200" t="s">
        <v>8</v>
      </c>
      <c r="C200" t="s">
        <v>605</v>
      </c>
      <c r="D200" t="s">
        <v>606</v>
      </c>
      <c r="E200">
        <v>1000</v>
      </c>
      <c r="F200" t="s">
        <v>1763</v>
      </c>
      <c r="G200" t="s">
        <v>1660</v>
      </c>
    </row>
    <row r="201" spans="2:7" x14ac:dyDescent="0.25">
      <c r="B201" t="s">
        <v>8</v>
      </c>
      <c r="C201" t="s">
        <v>605</v>
      </c>
      <c r="D201" t="s">
        <v>606</v>
      </c>
      <c r="E201">
        <v>10000</v>
      </c>
      <c r="F201" t="s">
        <v>1764</v>
      </c>
      <c r="G201" t="s">
        <v>1660</v>
      </c>
    </row>
    <row r="202" spans="2:7" x14ac:dyDescent="0.25">
      <c r="B202" t="s">
        <v>8</v>
      </c>
      <c r="C202" t="s">
        <v>605</v>
      </c>
      <c r="D202" t="s">
        <v>606</v>
      </c>
      <c r="E202">
        <v>9980</v>
      </c>
      <c r="F202" t="s">
        <v>1765</v>
      </c>
      <c r="G202" t="s">
        <v>1643</v>
      </c>
    </row>
    <row r="203" spans="2:7" x14ac:dyDescent="0.25">
      <c r="B203" t="s">
        <v>8</v>
      </c>
      <c r="C203" t="s">
        <v>605</v>
      </c>
      <c r="D203" t="s">
        <v>606</v>
      </c>
      <c r="E203">
        <v>10000</v>
      </c>
      <c r="F203" t="s">
        <v>1766</v>
      </c>
      <c r="G203" t="s">
        <v>1632</v>
      </c>
    </row>
    <row r="204" spans="2:7" x14ac:dyDescent="0.25">
      <c r="B204" t="s">
        <v>8</v>
      </c>
      <c r="C204" t="s">
        <v>605</v>
      </c>
      <c r="D204" t="s">
        <v>606</v>
      </c>
      <c r="E204">
        <v>5000</v>
      </c>
      <c r="F204" t="s">
        <v>1757</v>
      </c>
      <c r="G204" t="s">
        <v>1767</v>
      </c>
    </row>
    <row r="205" spans="2:7" x14ac:dyDescent="0.25">
      <c r="B205" t="s">
        <v>8</v>
      </c>
      <c r="C205" t="s">
        <v>605</v>
      </c>
      <c r="D205" t="s">
        <v>606</v>
      </c>
      <c r="E205">
        <v>10000</v>
      </c>
      <c r="F205" t="s">
        <v>1782</v>
      </c>
      <c r="G205" t="s">
        <v>1706</v>
      </c>
    </row>
    <row r="206" spans="2:7" x14ac:dyDescent="0.25">
      <c r="B206" t="s">
        <v>8</v>
      </c>
      <c r="C206" t="s">
        <v>605</v>
      </c>
      <c r="D206" t="s">
        <v>606</v>
      </c>
      <c r="E206">
        <v>10020</v>
      </c>
      <c r="F206" t="s">
        <v>1769</v>
      </c>
      <c r="G206" t="s">
        <v>1706</v>
      </c>
    </row>
    <row r="207" spans="2:7" x14ac:dyDescent="0.25">
      <c r="B207" t="s">
        <v>8</v>
      </c>
      <c r="C207" t="s">
        <v>605</v>
      </c>
      <c r="D207" t="s">
        <v>606</v>
      </c>
      <c r="E207">
        <v>10000</v>
      </c>
      <c r="F207" t="s">
        <v>1770</v>
      </c>
      <c r="G207" t="s">
        <v>1706</v>
      </c>
    </row>
    <row r="208" spans="2:7" x14ac:dyDescent="0.25">
      <c r="B208" t="s">
        <v>8</v>
      </c>
      <c r="C208" t="s">
        <v>605</v>
      </c>
      <c r="D208" t="s">
        <v>606</v>
      </c>
      <c r="E208">
        <v>10000</v>
      </c>
      <c r="F208" t="s">
        <v>1771</v>
      </c>
      <c r="G208" t="s">
        <v>1706</v>
      </c>
    </row>
    <row r="209" spans="2:7" x14ac:dyDescent="0.25">
      <c r="B209" t="s">
        <v>8</v>
      </c>
      <c r="C209" t="s">
        <v>605</v>
      </c>
      <c r="D209" t="s">
        <v>606</v>
      </c>
      <c r="E209">
        <v>10000</v>
      </c>
      <c r="F209" t="s">
        <v>1772</v>
      </c>
      <c r="G209" t="s">
        <v>1773</v>
      </c>
    </row>
    <row r="210" spans="2:7" x14ac:dyDescent="0.25">
      <c r="B210" t="s">
        <v>8</v>
      </c>
      <c r="C210" t="s">
        <v>605</v>
      </c>
      <c r="D210" t="s">
        <v>606</v>
      </c>
      <c r="E210">
        <v>10000</v>
      </c>
      <c r="F210" t="s">
        <v>1774</v>
      </c>
      <c r="G210" t="s">
        <v>1775</v>
      </c>
    </row>
    <row r="211" spans="2:7" x14ac:dyDescent="0.25">
      <c r="B211" t="s">
        <v>8</v>
      </c>
      <c r="C211" t="s">
        <v>605</v>
      </c>
      <c r="D211" t="s">
        <v>606</v>
      </c>
      <c r="E211">
        <v>10000</v>
      </c>
      <c r="F211" t="s">
        <v>1790</v>
      </c>
      <c r="G211" t="s">
        <v>1789</v>
      </c>
    </row>
    <row r="212" spans="2:7" x14ac:dyDescent="0.25">
      <c r="B212" t="s">
        <v>8</v>
      </c>
      <c r="C212" t="s">
        <v>605</v>
      </c>
      <c r="D212" t="s">
        <v>606</v>
      </c>
      <c r="E212">
        <v>9780</v>
      </c>
      <c r="F212" t="s">
        <v>1776</v>
      </c>
      <c r="G212" t="s">
        <v>1742</v>
      </c>
    </row>
    <row r="213" spans="2:7" x14ac:dyDescent="0.25">
      <c r="B213" t="s">
        <v>8</v>
      </c>
      <c r="C213" t="s">
        <v>605</v>
      </c>
      <c r="D213" t="s">
        <v>606</v>
      </c>
      <c r="E213">
        <v>9800</v>
      </c>
      <c r="F213" t="s">
        <v>1777</v>
      </c>
      <c r="G213" t="s">
        <v>1658</v>
      </c>
    </row>
    <row r="214" spans="2:7" x14ac:dyDescent="0.25">
      <c r="B214" t="s">
        <v>8</v>
      </c>
      <c r="C214" t="s">
        <v>605</v>
      </c>
      <c r="D214" t="s">
        <v>606</v>
      </c>
      <c r="E214">
        <v>9960</v>
      </c>
      <c r="F214" t="s">
        <v>1778</v>
      </c>
      <c r="G214" t="s">
        <v>1779</v>
      </c>
    </row>
    <row r="215" spans="2:7" x14ac:dyDescent="0.25">
      <c r="B215" t="s">
        <v>8</v>
      </c>
      <c r="C215" t="s">
        <v>605</v>
      </c>
      <c r="D215" t="s">
        <v>606</v>
      </c>
      <c r="E215">
        <v>9800</v>
      </c>
      <c r="F215" t="s">
        <v>1780</v>
      </c>
      <c r="G215" t="s">
        <v>1779</v>
      </c>
    </row>
    <row r="216" spans="2:7" x14ac:dyDescent="0.25">
      <c r="B216" t="s">
        <v>8</v>
      </c>
      <c r="C216" t="s">
        <v>605</v>
      </c>
      <c r="D216" t="s">
        <v>606</v>
      </c>
      <c r="E216">
        <v>4660</v>
      </c>
      <c r="F216" t="s">
        <v>1781</v>
      </c>
      <c r="G216" t="s">
        <v>1632</v>
      </c>
    </row>
    <row r="217" spans="2:7" x14ac:dyDescent="0.25">
      <c r="B217" t="s">
        <v>8</v>
      </c>
      <c r="C217" t="s">
        <v>605</v>
      </c>
      <c r="D217" t="s">
        <v>606</v>
      </c>
      <c r="E217">
        <v>10000</v>
      </c>
      <c r="F217" t="s">
        <v>1796</v>
      </c>
      <c r="G217" t="s">
        <v>1720</v>
      </c>
    </row>
    <row r="218" spans="2:7" x14ac:dyDescent="0.25">
      <c r="B218" t="s">
        <v>8</v>
      </c>
      <c r="C218" t="s">
        <v>605</v>
      </c>
      <c r="D218" t="s">
        <v>606</v>
      </c>
      <c r="E218">
        <v>10000</v>
      </c>
      <c r="F218" t="s">
        <v>1783</v>
      </c>
      <c r="G218" t="s">
        <v>1720</v>
      </c>
    </row>
    <row r="219" spans="2:7" x14ac:dyDescent="0.25">
      <c r="B219" t="s">
        <v>8</v>
      </c>
      <c r="C219" t="s">
        <v>605</v>
      </c>
      <c r="D219" t="s">
        <v>606</v>
      </c>
      <c r="E219">
        <v>10000</v>
      </c>
      <c r="F219" t="s">
        <v>1784</v>
      </c>
      <c r="G219" t="s">
        <v>1720</v>
      </c>
    </row>
    <row r="220" spans="2:7" x14ac:dyDescent="0.25">
      <c r="B220" t="s">
        <v>8</v>
      </c>
      <c r="C220" t="s">
        <v>605</v>
      </c>
      <c r="D220" t="s">
        <v>606</v>
      </c>
      <c r="E220">
        <v>10320</v>
      </c>
      <c r="F220" t="s">
        <v>1785</v>
      </c>
      <c r="G220" t="s">
        <v>1786</v>
      </c>
    </row>
    <row r="221" spans="2:7" x14ac:dyDescent="0.25">
      <c r="B221" t="s">
        <v>8</v>
      </c>
      <c r="C221" t="s">
        <v>605</v>
      </c>
      <c r="D221" t="s">
        <v>606</v>
      </c>
      <c r="E221">
        <v>10000</v>
      </c>
      <c r="F221" t="s">
        <v>1787</v>
      </c>
      <c r="G221" t="s">
        <v>1786</v>
      </c>
    </row>
    <row r="222" spans="2:7" x14ac:dyDescent="0.25">
      <c r="B222" t="s">
        <v>8</v>
      </c>
      <c r="C222" t="s">
        <v>605</v>
      </c>
      <c r="D222" t="s">
        <v>606</v>
      </c>
      <c r="E222">
        <v>10000</v>
      </c>
      <c r="F222" t="s">
        <v>1788</v>
      </c>
      <c r="G222" t="s">
        <v>1789</v>
      </c>
    </row>
    <row r="223" spans="2:7" x14ac:dyDescent="0.25">
      <c r="B223" t="s">
        <v>8</v>
      </c>
      <c r="C223" t="s">
        <v>605</v>
      </c>
      <c r="D223" t="s">
        <v>606</v>
      </c>
      <c r="E223">
        <v>6600</v>
      </c>
      <c r="F223" t="s">
        <v>1801</v>
      </c>
      <c r="G223" t="s">
        <v>1694</v>
      </c>
    </row>
    <row r="224" spans="2:7" x14ac:dyDescent="0.25">
      <c r="B224" t="s">
        <v>8</v>
      </c>
      <c r="C224" t="s">
        <v>605</v>
      </c>
      <c r="D224" t="s">
        <v>606</v>
      </c>
      <c r="E224">
        <v>10080</v>
      </c>
      <c r="F224" t="s">
        <v>1791</v>
      </c>
      <c r="G224" t="s">
        <v>1694</v>
      </c>
    </row>
    <row r="225" spans="2:7" x14ac:dyDescent="0.25">
      <c r="B225" t="s">
        <v>8</v>
      </c>
      <c r="C225" t="s">
        <v>605</v>
      </c>
      <c r="D225" t="s">
        <v>606</v>
      </c>
      <c r="E225">
        <v>200</v>
      </c>
      <c r="F225" t="s">
        <v>1792</v>
      </c>
      <c r="G225" t="s">
        <v>1616</v>
      </c>
    </row>
    <row r="226" spans="2:7" x14ac:dyDescent="0.25">
      <c r="B226" t="s">
        <v>8</v>
      </c>
      <c r="C226" t="s">
        <v>605</v>
      </c>
      <c r="D226" t="s">
        <v>606</v>
      </c>
      <c r="E226">
        <v>5000</v>
      </c>
      <c r="F226" t="s">
        <v>1792</v>
      </c>
      <c r="G226" t="s">
        <v>1793</v>
      </c>
    </row>
    <row r="227" spans="2:7" x14ac:dyDescent="0.25">
      <c r="B227" t="s">
        <v>8</v>
      </c>
      <c r="C227" t="s">
        <v>605</v>
      </c>
      <c r="D227" t="s">
        <v>606</v>
      </c>
      <c r="E227">
        <v>10000</v>
      </c>
      <c r="F227" t="s">
        <v>1794</v>
      </c>
      <c r="G227" t="s">
        <v>1605</v>
      </c>
    </row>
    <row r="228" spans="2:7" x14ac:dyDescent="0.25">
      <c r="B228" t="s">
        <v>8</v>
      </c>
      <c r="C228" t="s">
        <v>605</v>
      </c>
      <c r="D228" t="s">
        <v>606</v>
      </c>
      <c r="E228">
        <v>9580</v>
      </c>
      <c r="F228" t="s">
        <v>1795</v>
      </c>
      <c r="G228" t="s">
        <v>1724</v>
      </c>
    </row>
    <row r="229" spans="2:7" x14ac:dyDescent="0.25">
      <c r="B229" t="s">
        <v>8</v>
      </c>
      <c r="C229" t="s">
        <v>605</v>
      </c>
      <c r="D229" t="s">
        <v>606</v>
      </c>
      <c r="E229">
        <v>4800</v>
      </c>
      <c r="F229" t="s">
        <v>1792</v>
      </c>
      <c r="G229" t="s">
        <v>1605</v>
      </c>
    </row>
    <row r="230" spans="2:7" x14ac:dyDescent="0.25">
      <c r="B230" t="s">
        <v>8</v>
      </c>
      <c r="C230" t="s">
        <v>605</v>
      </c>
      <c r="D230" t="s">
        <v>606</v>
      </c>
      <c r="E230">
        <v>4960</v>
      </c>
      <c r="F230" t="s">
        <v>1797</v>
      </c>
      <c r="G230" t="s">
        <v>1606</v>
      </c>
    </row>
    <row r="231" spans="2:7" x14ac:dyDescent="0.25">
      <c r="B231" t="s">
        <v>8</v>
      </c>
      <c r="C231" t="s">
        <v>605</v>
      </c>
      <c r="D231" t="s">
        <v>606</v>
      </c>
      <c r="E231">
        <v>9980</v>
      </c>
      <c r="F231" t="s">
        <v>1798</v>
      </c>
      <c r="G231" t="s">
        <v>1736</v>
      </c>
    </row>
    <row r="232" spans="2:7" x14ac:dyDescent="0.25">
      <c r="B232" t="s">
        <v>8</v>
      </c>
      <c r="C232" t="s">
        <v>605</v>
      </c>
      <c r="D232" t="s">
        <v>606</v>
      </c>
      <c r="E232">
        <v>300</v>
      </c>
      <c r="F232" t="s">
        <v>1799</v>
      </c>
      <c r="G232" t="s">
        <v>1736</v>
      </c>
    </row>
    <row r="233" spans="2:7" x14ac:dyDescent="0.25">
      <c r="B233" t="s">
        <v>8</v>
      </c>
      <c r="C233" t="s">
        <v>605</v>
      </c>
      <c r="D233" t="s">
        <v>606</v>
      </c>
      <c r="E233">
        <v>4800</v>
      </c>
      <c r="F233" t="s">
        <v>1800</v>
      </c>
      <c r="G233" t="s">
        <v>1697</v>
      </c>
    </row>
    <row r="234" spans="2:7" x14ac:dyDescent="0.25">
      <c r="B234" t="s">
        <v>8</v>
      </c>
      <c r="C234" t="s">
        <v>605</v>
      </c>
      <c r="D234" t="s">
        <v>606</v>
      </c>
      <c r="E234">
        <v>3500</v>
      </c>
      <c r="F234" t="s">
        <v>1801</v>
      </c>
      <c r="G234" t="s">
        <v>1649</v>
      </c>
    </row>
    <row r="235" spans="2:7" x14ac:dyDescent="0.25">
      <c r="B235" t="s">
        <v>8</v>
      </c>
      <c r="C235" t="s">
        <v>605</v>
      </c>
      <c r="D235" t="s">
        <v>606</v>
      </c>
      <c r="E235">
        <v>10200</v>
      </c>
      <c r="F235" t="s">
        <v>1814</v>
      </c>
      <c r="G235" t="s">
        <v>1815</v>
      </c>
    </row>
    <row r="236" spans="2:7" x14ac:dyDescent="0.25">
      <c r="B236" t="s">
        <v>8</v>
      </c>
      <c r="C236" t="s">
        <v>605</v>
      </c>
      <c r="D236" t="s">
        <v>606</v>
      </c>
      <c r="E236">
        <v>5220</v>
      </c>
      <c r="F236" t="s">
        <v>1802</v>
      </c>
      <c r="G236" t="s">
        <v>1803</v>
      </c>
    </row>
    <row r="237" spans="2:7" x14ac:dyDescent="0.25">
      <c r="B237" t="s">
        <v>8</v>
      </c>
      <c r="C237" t="s">
        <v>605</v>
      </c>
      <c r="D237" t="s">
        <v>606</v>
      </c>
      <c r="E237">
        <v>6000</v>
      </c>
      <c r="F237" t="s">
        <v>1804</v>
      </c>
      <c r="G237" t="s">
        <v>1803</v>
      </c>
    </row>
    <row r="238" spans="2:7" x14ac:dyDescent="0.25">
      <c r="B238" t="s">
        <v>8</v>
      </c>
      <c r="C238" t="s">
        <v>605</v>
      </c>
      <c r="D238" t="s">
        <v>606</v>
      </c>
      <c r="E238">
        <v>10160</v>
      </c>
      <c r="F238" t="s">
        <v>1805</v>
      </c>
      <c r="G238" t="s">
        <v>1806</v>
      </c>
    </row>
    <row r="239" spans="2:7" x14ac:dyDescent="0.25">
      <c r="B239" t="s">
        <v>8</v>
      </c>
      <c r="C239" t="s">
        <v>605</v>
      </c>
      <c r="D239" t="s">
        <v>606</v>
      </c>
      <c r="E239">
        <v>10000</v>
      </c>
      <c r="F239" t="s">
        <v>1807</v>
      </c>
      <c r="G239" t="s">
        <v>1654</v>
      </c>
    </row>
    <row r="240" spans="2:7" x14ac:dyDescent="0.25">
      <c r="B240" t="s">
        <v>8</v>
      </c>
      <c r="C240" t="s">
        <v>605</v>
      </c>
      <c r="D240" t="s">
        <v>606</v>
      </c>
      <c r="E240">
        <v>12000</v>
      </c>
      <c r="F240" t="s">
        <v>1808</v>
      </c>
      <c r="G240" t="s">
        <v>1605</v>
      </c>
    </row>
    <row r="241" spans="2:7" x14ac:dyDescent="0.25">
      <c r="B241" t="s">
        <v>8</v>
      </c>
      <c r="C241" t="s">
        <v>605</v>
      </c>
      <c r="D241" t="s">
        <v>606</v>
      </c>
      <c r="E241">
        <v>10020</v>
      </c>
      <c r="F241" t="s">
        <v>1809</v>
      </c>
      <c r="G241" t="s">
        <v>1646</v>
      </c>
    </row>
    <row r="242" spans="2:7" x14ac:dyDescent="0.25">
      <c r="B242" t="s">
        <v>8</v>
      </c>
      <c r="C242" t="s">
        <v>605</v>
      </c>
      <c r="D242" t="s">
        <v>606</v>
      </c>
      <c r="E242">
        <v>9900</v>
      </c>
      <c r="F242" t="s">
        <v>1810</v>
      </c>
      <c r="G242" t="s">
        <v>1646</v>
      </c>
    </row>
    <row r="243" spans="2:7" x14ac:dyDescent="0.25">
      <c r="B243" t="s">
        <v>8</v>
      </c>
      <c r="C243" t="s">
        <v>605</v>
      </c>
      <c r="D243" t="s">
        <v>606</v>
      </c>
      <c r="E243">
        <v>-500</v>
      </c>
      <c r="F243" t="s">
        <v>2559</v>
      </c>
      <c r="G243" t="s">
        <v>1622</v>
      </c>
    </row>
    <row r="244" spans="2:7" x14ac:dyDescent="0.25">
      <c r="B244" t="s">
        <v>8</v>
      </c>
      <c r="C244" t="s">
        <v>605</v>
      </c>
      <c r="D244" t="s">
        <v>606</v>
      </c>
      <c r="E244">
        <v>5980</v>
      </c>
      <c r="F244" t="s">
        <v>1811</v>
      </c>
      <c r="G244" t="s">
        <v>1624</v>
      </c>
    </row>
    <row r="245" spans="2:7" x14ac:dyDescent="0.25">
      <c r="B245" t="s">
        <v>8</v>
      </c>
      <c r="C245" t="s">
        <v>605</v>
      </c>
      <c r="D245" t="s">
        <v>606</v>
      </c>
      <c r="E245">
        <v>9200</v>
      </c>
      <c r="F245" t="s">
        <v>1812</v>
      </c>
      <c r="G245" t="s">
        <v>1691</v>
      </c>
    </row>
    <row r="246" spans="2:7" x14ac:dyDescent="0.25">
      <c r="B246" t="s">
        <v>8</v>
      </c>
      <c r="C246" t="s">
        <v>605</v>
      </c>
      <c r="D246" t="s">
        <v>606</v>
      </c>
      <c r="E246">
        <v>10000</v>
      </c>
      <c r="F246" t="s">
        <v>1813</v>
      </c>
      <c r="G246" t="s">
        <v>1697</v>
      </c>
    </row>
    <row r="247" spans="2:7" x14ac:dyDescent="0.25">
      <c r="B247" t="s">
        <v>8</v>
      </c>
      <c r="C247" t="s">
        <v>9</v>
      </c>
      <c r="D247" t="s">
        <v>10</v>
      </c>
      <c r="E247">
        <v>200</v>
      </c>
      <c r="F247" t="s">
        <v>1816</v>
      </c>
      <c r="G247" t="s">
        <v>1779</v>
      </c>
    </row>
    <row r="248" spans="2:7" x14ac:dyDescent="0.25">
      <c r="B248" t="s">
        <v>8</v>
      </c>
      <c r="C248" t="s">
        <v>9</v>
      </c>
      <c r="D248" t="s">
        <v>10</v>
      </c>
      <c r="E248">
        <v>100</v>
      </c>
      <c r="F248" t="s">
        <v>1817</v>
      </c>
      <c r="G248" t="s">
        <v>1646</v>
      </c>
    </row>
    <row r="249" spans="2:7" x14ac:dyDescent="0.25">
      <c r="B249" t="s">
        <v>8</v>
      </c>
      <c r="C249" t="s">
        <v>9</v>
      </c>
      <c r="D249" t="s">
        <v>10</v>
      </c>
      <c r="E249">
        <v>500</v>
      </c>
      <c r="F249" t="s">
        <v>1818</v>
      </c>
      <c r="G249" t="s">
        <v>1622</v>
      </c>
    </row>
    <row r="250" spans="2:7" x14ac:dyDescent="0.25">
      <c r="B250" t="s">
        <v>8</v>
      </c>
      <c r="C250" t="s">
        <v>9</v>
      </c>
      <c r="D250" t="s">
        <v>10</v>
      </c>
      <c r="E250">
        <v>700</v>
      </c>
      <c r="F250" t="s">
        <v>1819</v>
      </c>
      <c r="G250" t="s">
        <v>1624</v>
      </c>
    </row>
    <row r="251" spans="2:7" x14ac:dyDescent="0.25">
      <c r="B251" t="s">
        <v>8</v>
      </c>
      <c r="C251" t="s">
        <v>9</v>
      </c>
      <c r="D251" t="s">
        <v>10</v>
      </c>
      <c r="E251">
        <v>900</v>
      </c>
      <c r="F251" t="s">
        <v>1820</v>
      </c>
      <c r="G251" t="s">
        <v>1691</v>
      </c>
    </row>
    <row r="252" spans="2:7" x14ac:dyDescent="0.25">
      <c r="B252" t="s">
        <v>8</v>
      </c>
      <c r="C252" t="s">
        <v>302</v>
      </c>
      <c r="D252" t="s">
        <v>303</v>
      </c>
      <c r="E252">
        <v>5880</v>
      </c>
      <c r="F252" t="s">
        <v>1821</v>
      </c>
      <c r="G252" t="s">
        <v>1632</v>
      </c>
    </row>
    <row r="253" spans="2:7" x14ac:dyDescent="0.25">
      <c r="B253" t="s">
        <v>8</v>
      </c>
      <c r="C253" t="s">
        <v>302</v>
      </c>
      <c r="D253" t="s">
        <v>303</v>
      </c>
      <c r="E253">
        <v>5200</v>
      </c>
      <c r="F253" t="s">
        <v>1822</v>
      </c>
      <c r="G253" t="s">
        <v>1697</v>
      </c>
    </row>
    <row r="254" spans="2:7" x14ac:dyDescent="0.25">
      <c r="B254" t="s">
        <v>8</v>
      </c>
      <c r="C254" t="s">
        <v>302</v>
      </c>
      <c r="D254" t="s">
        <v>303</v>
      </c>
      <c r="E254">
        <v>10000</v>
      </c>
      <c r="F254" t="s">
        <v>1823</v>
      </c>
      <c r="G254" t="s">
        <v>1697</v>
      </c>
    </row>
    <row r="255" spans="2:7" x14ac:dyDescent="0.25">
      <c r="B255" t="s">
        <v>8</v>
      </c>
      <c r="C255" t="s">
        <v>302</v>
      </c>
      <c r="D255" t="s">
        <v>303</v>
      </c>
      <c r="E255">
        <v>3280</v>
      </c>
      <c r="F255" t="s">
        <v>1824</v>
      </c>
      <c r="G255" t="s">
        <v>1681</v>
      </c>
    </row>
    <row r="256" spans="2:7" x14ac:dyDescent="0.25">
      <c r="B256" t="s">
        <v>17</v>
      </c>
      <c r="C256" t="s">
        <v>304</v>
      </c>
      <c r="D256" t="s">
        <v>305</v>
      </c>
      <c r="E256">
        <v>6000</v>
      </c>
      <c r="F256" t="s">
        <v>1825</v>
      </c>
      <c r="G256" t="s">
        <v>1826</v>
      </c>
    </row>
    <row r="257" spans="2:7" x14ac:dyDescent="0.25">
      <c r="B257" t="s">
        <v>17</v>
      </c>
      <c r="C257" t="s">
        <v>304</v>
      </c>
      <c r="D257" t="s">
        <v>305</v>
      </c>
      <c r="E257">
        <v>6000</v>
      </c>
      <c r="F257" t="s">
        <v>1827</v>
      </c>
      <c r="G257" t="s">
        <v>1826</v>
      </c>
    </row>
    <row r="258" spans="2:7" x14ac:dyDescent="0.25">
      <c r="B258" t="s">
        <v>17</v>
      </c>
      <c r="C258" t="s">
        <v>304</v>
      </c>
      <c r="D258" t="s">
        <v>305</v>
      </c>
      <c r="E258">
        <v>3220</v>
      </c>
      <c r="F258" t="s">
        <v>1828</v>
      </c>
      <c r="G258" t="s">
        <v>1826</v>
      </c>
    </row>
    <row r="259" spans="2:7" x14ac:dyDescent="0.25">
      <c r="B259" t="s">
        <v>17</v>
      </c>
      <c r="C259" t="s">
        <v>304</v>
      </c>
      <c r="D259" t="s">
        <v>305</v>
      </c>
      <c r="E259">
        <v>4580</v>
      </c>
      <c r="F259" t="s">
        <v>1829</v>
      </c>
      <c r="G259" t="s">
        <v>1826</v>
      </c>
    </row>
    <row r="260" spans="2:7" x14ac:dyDescent="0.25">
      <c r="B260" t="s">
        <v>17</v>
      </c>
      <c r="C260" t="s">
        <v>304</v>
      </c>
      <c r="D260" t="s">
        <v>305</v>
      </c>
      <c r="E260">
        <v>5600</v>
      </c>
      <c r="F260" t="s">
        <v>1829</v>
      </c>
      <c r="G260" t="s">
        <v>1826</v>
      </c>
    </row>
    <row r="261" spans="2:7" x14ac:dyDescent="0.25">
      <c r="B261" t="s">
        <v>17</v>
      </c>
      <c r="C261" t="s">
        <v>455</v>
      </c>
      <c r="D261" t="s">
        <v>456</v>
      </c>
      <c r="E261">
        <v>200</v>
      </c>
      <c r="F261" t="s">
        <v>1830</v>
      </c>
      <c r="G261" t="s">
        <v>1779</v>
      </c>
    </row>
    <row r="262" spans="2:7" x14ac:dyDescent="0.25">
      <c r="B262" t="s">
        <v>17</v>
      </c>
      <c r="C262" t="s">
        <v>455</v>
      </c>
      <c r="D262" t="s">
        <v>456</v>
      </c>
      <c r="E262">
        <v>100</v>
      </c>
      <c r="F262" t="s">
        <v>1831</v>
      </c>
      <c r="G262" t="s">
        <v>1786</v>
      </c>
    </row>
    <row r="263" spans="2:7" x14ac:dyDescent="0.25">
      <c r="B263" t="s">
        <v>17</v>
      </c>
      <c r="C263" t="s">
        <v>455</v>
      </c>
      <c r="D263" t="s">
        <v>456</v>
      </c>
      <c r="E263">
        <v>741</v>
      </c>
      <c r="F263" t="s">
        <v>1832</v>
      </c>
      <c r="G263" t="s">
        <v>1663</v>
      </c>
    </row>
    <row r="264" spans="2:7" x14ac:dyDescent="0.25">
      <c r="B264" t="s">
        <v>17</v>
      </c>
      <c r="C264" t="s">
        <v>607</v>
      </c>
      <c r="D264" t="s">
        <v>608</v>
      </c>
      <c r="E264">
        <v>1895</v>
      </c>
      <c r="F264" t="s">
        <v>1833</v>
      </c>
      <c r="G264" t="s">
        <v>1724</v>
      </c>
    </row>
    <row r="265" spans="2:7" x14ac:dyDescent="0.25">
      <c r="B265" t="s">
        <v>17</v>
      </c>
      <c r="C265" t="s">
        <v>607</v>
      </c>
      <c r="D265" t="s">
        <v>608</v>
      </c>
      <c r="E265">
        <v>200</v>
      </c>
      <c r="F265" t="s">
        <v>1833</v>
      </c>
      <c r="G265" t="s">
        <v>1658</v>
      </c>
    </row>
    <row r="266" spans="2:7" x14ac:dyDescent="0.25">
      <c r="B266" t="s">
        <v>20</v>
      </c>
      <c r="C266" t="s">
        <v>173</v>
      </c>
      <c r="D266" t="s">
        <v>174</v>
      </c>
      <c r="E266">
        <v>24</v>
      </c>
      <c r="F266" t="s">
        <v>1834</v>
      </c>
      <c r="G266" t="s">
        <v>1786</v>
      </c>
    </row>
    <row r="267" spans="2:7" x14ac:dyDescent="0.25">
      <c r="B267" t="s">
        <v>20</v>
      </c>
      <c r="C267" t="s">
        <v>173</v>
      </c>
      <c r="D267" t="s">
        <v>174</v>
      </c>
      <c r="E267">
        <v>39</v>
      </c>
      <c r="F267" t="s">
        <v>1834</v>
      </c>
      <c r="G267" t="s">
        <v>1694</v>
      </c>
    </row>
    <row r="268" spans="2:7" x14ac:dyDescent="0.25">
      <c r="B268" t="s">
        <v>20</v>
      </c>
      <c r="C268" t="s">
        <v>173</v>
      </c>
      <c r="D268" t="s">
        <v>174</v>
      </c>
      <c r="E268">
        <v>1937</v>
      </c>
      <c r="F268" t="s">
        <v>1835</v>
      </c>
      <c r="G268" t="s">
        <v>1663</v>
      </c>
    </row>
    <row r="269" spans="2:7" x14ac:dyDescent="0.25">
      <c r="B269" t="s">
        <v>20</v>
      </c>
      <c r="C269" t="s">
        <v>1003</v>
      </c>
      <c r="D269" t="s">
        <v>1004</v>
      </c>
      <c r="E269">
        <v>600</v>
      </c>
      <c r="F269" t="s">
        <v>1836</v>
      </c>
      <c r="G269" t="s">
        <v>1672</v>
      </c>
    </row>
    <row r="270" spans="2:7" x14ac:dyDescent="0.25">
      <c r="B270" t="s">
        <v>20</v>
      </c>
      <c r="C270" t="s">
        <v>1003</v>
      </c>
      <c r="D270" t="s">
        <v>1004</v>
      </c>
      <c r="E270">
        <v>720</v>
      </c>
      <c r="F270" t="s">
        <v>1836</v>
      </c>
      <c r="G270" t="s">
        <v>1610</v>
      </c>
    </row>
    <row r="271" spans="2:7" x14ac:dyDescent="0.25">
      <c r="B271" t="s">
        <v>20</v>
      </c>
      <c r="C271" t="s">
        <v>1003</v>
      </c>
      <c r="D271" t="s">
        <v>1004</v>
      </c>
      <c r="E271">
        <v>100</v>
      </c>
      <c r="F271" t="s">
        <v>1837</v>
      </c>
      <c r="G271" t="s">
        <v>1614</v>
      </c>
    </row>
    <row r="272" spans="2:7" x14ac:dyDescent="0.25">
      <c r="B272" t="s">
        <v>20</v>
      </c>
      <c r="C272" t="s">
        <v>1003</v>
      </c>
      <c r="D272" t="s">
        <v>1004</v>
      </c>
      <c r="E272">
        <v>20</v>
      </c>
      <c r="F272" t="s">
        <v>1837</v>
      </c>
      <c r="G272" t="s">
        <v>1634</v>
      </c>
    </row>
    <row r="273" spans="2:7" x14ac:dyDescent="0.25">
      <c r="B273" t="s">
        <v>20</v>
      </c>
      <c r="C273" t="s">
        <v>1003</v>
      </c>
      <c r="D273" t="s">
        <v>1004</v>
      </c>
      <c r="E273">
        <v>200</v>
      </c>
      <c r="F273" t="s">
        <v>1838</v>
      </c>
      <c r="G273" t="s">
        <v>1803</v>
      </c>
    </row>
    <row r="274" spans="2:7" x14ac:dyDescent="0.25">
      <c r="B274" t="s">
        <v>20</v>
      </c>
      <c r="C274" t="s">
        <v>1003</v>
      </c>
      <c r="D274" t="s">
        <v>1004</v>
      </c>
      <c r="E274">
        <v>880</v>
      </c>
      <c r="F274" t="s">
        <v>1839</v>
      </c>
      <c r="G274" t="s">
        <v>1840</v>
      </c>
    </row>
    <row r="275" spans="2:7" x14ac:dyDescent="0.25">
      <c r="B275" t="s">
        <v>20</v>
      </c>
      <c r="C275" t="s">
        <v>459</v>
      </c>
      <c r="D275" t="s">
        <v>460</v>
      </c>
      <c r="E275">
        <v>6140</v>
      </c>
      <c r="F275" t="s">
        <v>1841</v>
      </c>
      <c r="G275" t="s">
        <v>1756</v>
      </c>
    </row>
    <row r="276" spans="2:7" x14ac:dyDescent="0.25">
      <c r="B276" t="s">
        <v>20</v>
      </c>
      <c r="C276" t="s">
        <v>459</v>
      </c>
      <c r="D276" t="s">
        <v>460</v>
      </c>
      <c r="E276">
        <v>4860</v>
      </c>
      <c r="F276" t="s">
        <v>1842</v>
      </c>
      <c r="G276" t="s">
        <v>1610</v>
      </c>
    </row>
    <row r="277" spans="2:7" x14ac:dyDescent="0.25">
      <c r="B277" t="s">
        <v>20</v>
      </c>
      <c r="C277" t="s">
        <v>459</v>
      </c>
      <c r="D277" t="s">
        <v>460</v>
      </c>
      <c r="E277">
        <v>1100</v>
      </c>
      <c r="F277" t="s">
        <v>1843</v>
      </c>
      <c r="G277" t="s">
        <v>1706</v>
      </c>
    </row>
    <row r="278" spans="2:7" x14ac:dyDescent="0.25">
      <c r="B278" t="s">
        <v>20</v>
      </c>
      <c r="C278" t="s">
        <v>459</v>
      </c>
      <c r="D278" t="s">
        <v>460</v>
      </c>
      <c r="E278">
        <v>-120</v>
      </c>
      <c r="F278" t="s">
        <v>2559</v>
      </c>
      <c r="G278" t="s">
        <v>1614</v>
      </c>
    </row>
    <row r="279" spans="2:7" x14ac:dyDescent="0.25">
      <c r="B279" t="s">
        <v>20</v>
      </c>
      <c r="C279" t="s">
        <v>459</v>
      </c>
      <c r="D279" t="s">
        <v>460</v>
      </c>
      <c r="E279">
        <v>-40</v>
      </c>
      <c r="F279" t="s">
        <v>2559</v>
      </c>
      <c r="G279" t="s">
        <v>1786</v>
      </c>
    </row>
    <row r="280" spans="2:7" x14ac:dyDescent="0.25">
      <c r="B280" t="s">
        <v>20</v>
      </c>
      <c r="C280" t="s">
        <v>459</v>
      </c>
      <c r="D280" t="s">
        <v>460</v>
      </c>
      <c r="E280">
        <v>-200</v>
      </c>
      <c r="F280" t="s">
        <v>2559</v>
      </c>
      <c r="G280" t="s">
        <v>1803</v>
      </c>
    </row>
    <row r="281" spans="2:7" x14ac:dyDescent="0.25">
      <c r="B281" t="s">
        <v>20</v>
      </c>
      <c r="C281" t="s">
        <v>588</v>
      </c>
      <c r="D281" t="s">
        <v>589</v>
      </c>
      <c r="E281">
        <v>120</v>
      </c>
      <c r="F281" t="s">
        <v>1844</v>
      </c>
      <c r="G281" t="s">
        <v>1663</v>
      </c>
    </row>
    <row r="282" spans="2:7" x14ac:dyDescent="0.25">
      <c r="B282" t="s">
        <v>20</v>
      </c>
      <c r="C282" t="s">
        <v>259</v>
      </c>
      <c r="D282" t="s">
        <v>260</v>
      </c>
      <c r="E282">
        <v>5040</v>
      </c>
      <c r="F282" t="s">
        <v>1845</v>
      </c>
      <c r="G282" t="s">
        <v>1706</v>
      </c>
    </row>
    <row r="283" spans="2:7" x14ac:dyDescent="0.25">
      <c r="B283" t="s">
        <v>20</v>
      </c>
      <c r="C283" t="s">
        <v>259</v>
      </c>
      <c r="D283" t="s">
        <v>260</v>
      </c>
      <c r="E283">
        <v>1680</v>
      </c>
      <c r="F283" t="s">
        <v>1846</v>
      </c>
      <c r="G283" t="s">
        <v>1697</v>
      </c>
    </row>
    <row r="284" spans="2:7" x14ac:dyDescent="0.25">
      <c r="B284" t="s">
        <v>20</v>
      </c>
      <c r="C284" t="s">
        <v>259</v>
      </c>
      <c r="D284" t="s">
        <v>260</v>
      </c>
      <c r="E284">
        <v>4000</v>
      </c>
      <c r="F284" t="s">
        <v>1847</v>
      </c>
      <c r="G284" t="s">
        <v>1663</v>
      </c>
    </row>
    <row r="285" spans="2:7" x14ac:dyDescent="0.25">
      <c r="B285" t="s">
        <v>31</v>
      </c>
      <c r="C285" t="s">
        <v>1082</v>
      </c>
      <c r="D285" t="s">
        <v>1083</v>
      </c>
      <c r="E285">
        <v>3300</v>
      </c>
      <c r="F285" t="s">
        <v>1848</v>
      </c>
      <c r="G285" t="s">
        <v>1793</v>
      </c>
    </row>
    <row r="286" spans="2:7" x14ac:dyDescent="0.25">
      <c r="B286" t="s">
        <v>25</v>
      </c>
      <c r="C286" t="s">
        <v>470</v>
      </c>
      <c r="D286" t="s">
        <v>471</v>
      </c>
      <c r="E286">
        <v>2481</v>
      </c>
      <c r="F286" t="s">
        <v>1849</v>
      </c>
      <c r="G286" t="s">
        <v>1629</v>
      </c>
    </row>
    <row r="287" spans="2:7" x14ac:dyDescent="0.25">
      <c r="B287" t="s">
        <v>25</v>
      </c>
      <c r="C287" t="s">
        <v>470</v>
      </c>
      <c r="D287" t="s">
        <v>471</v>
      </c>
      <c r="E287">
        <v>608</v>
      </c>
      <c r="F287" t="s">
        <v>1850</v>
      </c>
      <c r="G287" t="s">
        <v>1632</v>
      </c>
    </row>
    <row r="288" spans="2:7" x14ac:dyDescent="0.25">
      <c r="B288" t="s">
        <v>25</v>
      </c>
      <c r="C288" t="s">
        <v>470</v>
      </c>
      <c r="D288" t="s">
        <v>471</v>
      </c>
      <c r="E288">
        <v>769</v>
      </c>
      <c r="F288" t="s">
        <v>1851</v>
      </c>
      <c r="G288" t="s">
        <v>1640</v>
      </c>
    </row>
    <row r="289" spans="2:7" x14ac:dyDescent="0.25">
      <c r="B289" t="s">
        <v>25</v>
      </c>
      <c r="C289" t="s">
        <v>470</v>
      </c>
      <c r="D289" t="s">
        <v>471</v>
      </c>
      <c r="E289">
        <v>1015</v>
      </c>
      <c r="F289" t="s">
        <v>1852</v>
      </c>
      <c r="G289" t="s">
        <v>1634</v>
      </c>
    </row>
    <row r="290" spans="2:7" x14ac:dyDescent="0.25">
      <c r="B290" t="s">
        <v>25</v>
      </c>
      <c r="C290" t="s">
        <v>470</v>
      </c>
      <c r="D290" t="s">
        <v>471</v>
      </c>
      <c r="E290">
        <v>1735</v>
      </c>
      <c r="F290" t="s">
        <v>1853</v>
      </c>
      <c r="G290" t="s">
        <v>1793</v>
      </c>
    </row>
    <row r="291" spans="2:7" x14ac:dyDescent="0.25">
      <c r="B291" t="s">
        <v>25</v>
      </c>
      <c r="C291" t="s">
        <v>470</v>
      </c>
      <c r="D291" t="s">
        <v>471</v>
      </c>
      <c r="E291">
        <v>5052</v>
      </c>
      <c r="F291" t="s">
        <v>1854</v>
      </c>
      <c r="G291" t="s">
        <v>1651</v>
      </c>
    </row>
    <row r="292" spans="2:7" x14ac:dyDescent="0.25">
      <c r="B292" t="s">
        <v>25</v>
      </c>
      <c r="C292" t="s">
        <v>470</v>
      </c>
      <c r="D292" t="s">
        <v>471</v>
      </c>
      <c r="E292">
        <v>-3</v>
      </c>
      <c r="F292" t="s">
        <v>2559</v>
      </c>
      <c r="G292" t="s">
        <v>1651</v>
      </c>
    </row>
    <row r="293" spans="2:7" x14ac:dyDescent="0.25">
      <c r="B293" t="s">
        <v>25</v>
      </c>
      <c r="C293" t="s">
        <v>470</v>
      </c>
      <c r="D293" t="s">
        <v>471</v>
      </c>
      <c r="E293">
        <v>2423</v>
      </c>
      <c r="F293" t="s">
        <v>1855</v>
      </c>
      <c r="G293" t="s">
        <v>1681</v>
      </c>
    </row>
    <row r="294" spans="2:7" x14ac:dyDescent="0.25">
      <c r="B294" t="s">
        <v>25</v>
      </c>
      <c r="C294" t="s">
        <v>470</v>
      </c>
      <c r="D294" t="s">
        <v>471</v>
      </c>
      <c r="E294">
        <v>1860</v>
      </c>
      <c r="F294" t="s">
        <v>1856</v>
      </c>
      <c r="G294" t="s">
        <v>1624</v>
      </c>
    </row>
    <row r="295" spans="2:7" x14ac:dyDescent="0.25">
      <c r="B295" t="s">
        <v>25</v>
      </c>
      <c r="C295" t="s">
        <v>619</v>
      </c>
      <c r="D295" t="s">
        <v>620</v>
      </c>
      <c r="E295">
        <v>100</v>
      </c>
      <c r="F295" t="s">
        <v>1857</v>
      </c>
      <c r="G295" t="s">
        <v>1632</v>
      </c>
    </row>
    <row r="296" spans="2:7" x14ac:dyDescent="0.25">
      <c r="B296" t="s">
        <v>25</v>
      </c>
      <c r="C296" t="s">
        <v>619</v>
      </c>
      <c r="D296" t="s">
        <v>620</v>
      </c>
      <c r="E296">
        <v>300</v>
      </c>
      <c r="F296" t="s">
        <v>1858</v>
      </c>
      <c r="G296" t="s">
        <v>1691</v>
      </c>
    </row>
    <row r="297" spans="2:7" x14ac:dyDescent="0.25">
      <c r="B297" t="s">
        <v>25</v>
      </c>
      <c r="C297" t="s">
        <v>1084</v>
      </c>
      <c r="D297" t="s">
        <v>1085</v>
      </c>
      <c r="E297">
        <v>1800</v>
      </c>
      <c r="F297" t="s">
        <v>1859</v>
      </c>
      <c r="G297" t="s">
        <v>1632</v>
      </c>
    </row>
    <row r="298" spans="2:7" x14ac:dyDescent="0.25">
      <c r="B298" t="s">
        <v>25</v>
      </c>
      <c r="C298" t="s">
        <v>1084</v>
      </c>
      <c r="D298" t="s">
        <v>1085</v>
      </c>
      <c r="E298">
        <v>1500</v>
      </c>
      <c r="F298" t="s">
        <v>1860</v>
      </c>
      <c r="G298" t="s">
        <v>1779</v>
      </c>
    </row>
    <row r="299" spans="2:7" x14ac:dyDescent="0.25">
      <c r="B299" t="s">
        <v>25</v>
      </c>
      <c r="C299" t="s">
        <v>1084</v>
      </c>
      <c r="D299" t="s">
        <v>1085</v>
      </c>
      <c r="E299">
        <v>1008</v>
      </c>
      <c r="F299" t="s">
        <v>1861</v>
      </c>
      <c r="G299" t="s">
        <v>1624</v>
      </c>
    </row>
    <row r="300" spans="2:7" x14ac:dyDescent="0.25">
      <c r="B300" t="s">
        <v>40</v>
      </c>
      <c r="C300" t="s">
        <v>41</v>
      </c>
      <c r="D300" t="s">
        <v>42</v>
      </c>
      <c r="E300">
        <v>2580</v>
      </c>
      <c r="F300" t="s">
        <v>1862</v>
      </c>
      <c r="G300" t="s">
        <v>1746</v>
      </c>
    </row>
    <row r="301" spans="2:7" x14ac:dyDescent="0.25">
      <c r="B301" t="s">
        <v>40</v>
      </c>
      <c r="C301" t="s">
        <v>41</v>
      </c>
      <c r="D301" t="s">
        <v>42</v>
      </c>
      <c r="E301">
        <v>863</v>
      </c>
      <c r="F301" t="s">
        <v>1863</v>
      </c>
      <c r="G301" t="s">
        <v>1752</v>
      </c>
    </row>
    <row r="302" spans="2:7" x14ac:dyDescent="0.25">
      <c r="B302" t="s">
        <v>40</v>
      </c>
      <c r="C302" t="s">
        <v>41</v>
      </c>
      <c r="D302" t="s">
        <v>42</v>
      </c>
      <c r="E302">
        <v>200</v>
      </c>
      <c r="F302" t="s">
        <v>1864</v>
      </c>
      <c r="G302" t="s">
        <v>1773</v>
      </c>
    </row>
    <row r="303" spans="2:7" x14ac:dyDescent="0.25">
      <c r="B303" t="s">
        <v>40</v>
      </c>
      <c r="C303" t="s">
        <v>41</v>
      </c>
      <c r="D303" t="s">
        <v>42</v>
      </c>
      <c r="E303">
        <v>800</v>
      </c>
      <c r="F303" t="s">
        <v>1864</v>
      </c>
      <c r="G303" t="s">
        <v>1773</v>
      </c>
    </row>
    <row r="304" spans="2:7" x14ac:dyDescent="0.25">
      <c r="B304" t="s">
        <v>40</v>
      </c>
      <c r="C304" t="s">
        <v>41</v>
      </c>
      <c r="D304" t="s">
        <v>42</v>
      </c>
      <c r="E304">
        <v>1417</v>
      </c>
      <c r="F304" t="s">
        <v>1864</v>
      </c>
      <c r="G304" t="s">
        <v>1789</v>
      </c>
    </row>
    <row r="305" spans="2:7" x14ac:dyDescent="0.25">
      <c r="B305" t="s">
        <v>40</v>
      </c>
      <c r="C305" t="s">
        <v>41</v>
      </c>
      <c r="D305" t="s">
        <v>42</v>
      </c>
      <c r="E305">
        <v>2599</v>
      </c>
      <c r="F305" t="s">
        <v>1865</v>
      </c>
      <c r="G305" t="s">
        <v>1806</v>
      </c>
    </row>
    <row r="306" spans="2:7" x14ac:dyDescent="0.25">
      <c r="B306" t="s">
        <v>49</v>
      </c>
      <c r="C306" t="s">
        <v>894</v>
      </c>
      <c r="D306" t="s">
        <v>895</v>
      </c>
      <c r="E306">
        <v>-71</v>
      </c>
      <c r="F306" t="s">
        <v>2559</v>
      </c>
      <c r="G306" t="s">
        <v>1718</v>
      </c>
    </row>
    <row r="307" spans="2:7" x14ac:dyDescent="0.25">
      <c r="B307" t="s">
        <v>49</v>
      </c>
      <c r="C307" t="s">
        <v>50</v>
      </c>
      <c r="D307" t="s">
        <v>51</v>
      </c>
      <c r="E307">
        <v>4800</v>
      </c>
      <c r="F307" t="s">
        <v>1872</v>
      </c>
      <c r="G307" t="s">
        <v>1663</v>
      </c>
    </row>
    <row r="308" spans="2:7" x14ac:dyDescent="0.25">
      <c r="B308" t="s">
        <v>49</v>
      </c>
      <c r="C308" t="s">
        <v>50</v>
      </c>
      <c r="D308" t="s">
        <v>51</v>
      </c>
      <c r="E308">
        <v>5100</v>
      </c>
      <c r="F308" t="s">
        <v>1873</v>
      </c>
      <c r="G308" t="s">
        <v>1712</v>
      </c>
    </row>
    <row r="309" spans="2:7" x14ac:dyDescent="0.25">
      <c r="B309" t="s">
        <v>49</v>
      </c>
      <c r="C309" t="s">
        <v>50</v>
      </c>
      <c r="D309" t="s">
        <v>51</v>
      </c>
      <c r="E309">
        <v>4805</v>
      </c>
      <c r="F309" t="s">
        <v>1873</v>
      </c>
      <c r="G309" t="s">
        <v>1691</v>
      </c>
    </row>
    <row r="310" spans="2:7" x14ac:dyDescent="0.25">
      <c r="B310" t="s">
        <v>49</v>
      </c>
      <c r="C310" t="s">
        <v>50</v>
      </c>
      <c r="D310" t="s">
        <v>51</v>
      </c>
      <c r="E310">
        <v>-20</v>
      </c>
      <c r="F310" t="s">
        <v>2559</v>
      </c>
      <c r="G310" t="s">
        <v>1610</v>
      </c>
    </row>
    <row r="311" spans="2:7" x14ac:dyDescent="0.25">
      <c r="B311" t="s">
        <v>49</v>
      </c>
      <c r="C311" t="s">
        <v>50</v>
      </c>
      <c r="D311" t="s">
        <v>51</v>
      </c>
      <c r="E311">
        <v>-940</v>
      </c>
      <c r="F311" t="s">
        <v>2559</v>
      </c>
      <c r="G311" t="s">
        <v>1610</v>
      </c>
    </row>
    <row r="312" spans="2:7" x14ac:dyDescent="0.25">
      <c r="B312" t="s">
        <v>49</v>
      </c>
      <c r="C312" t="s">
        <v>50</v>
      </c>
      <c r="D312" t="s">
        <v>51</v>
      </c>
      <c r="E312">
        <v>975</v>
      </c>
      <c r="F312" t="s">
        <v>1868</v>
      </c>
      <c r="G312" t="s">
        <v>1775</v>
      </c>
    </row>
    <row r="313" spans="2:7" x14ac:dyDescent="0.25">
      <c r="B313" t="s">
        <v>49</v>
      </c>
      <c r="C313" t="s">
        <v>50</v>
      </c>
      <c r="D313" t="s">
        <v>51</v>
      </c>
      <c r="E313">
        <v>-35</v>
      </c>
      <c r="F313" t="s">
        <v>2559</v>
      </c>
      <c r="G313" t="s">
        <v>1610</v>
      </c>
    </row>
    <row r="314" spans="2:7" x14ac:dyDescent="0.25">
      <c r="B314" t="s">
        <v>49</v>
      </c>
      <c r="C314" t="s">
        <v>50</v>
      </c>
      <c r="D314" t="s">
        <v>51</v>
      </c>
      <c r="E314">
        <v>-40</v>
      </c>
      <c r="F314" t="s">
        <v>2559</v>
      </c>
      <c r="G314" t="s">
        <v>1610</v>
      </c>
    </row>
    <row r="315" spans="2:7" x14ac:dyDescent="0.25">
      <c r="B315" t="s">
        <v>49</v>
      </c>
      <c r="C315" t="s">
        <v>50</v>
      </c>
      <c r="D315" t="s">
        <v>51</v>
      </c>
      <c r="E315">
        <v>-20</v>
      </c>
      <c r="F315" t="s">
        <v>2559</v>
      </c>
      <c r="G315" t="s">
        <v>1610</v>
      </c>
    </row>
    <row r="316" spans="2:7" x14ac:dyDescent="0.25">
      <c r="B316" t="s">
        <v>49</v>
      </c>
      <c r="C316" t="s">
        <v>50</v>
      </c>
      <c r="D316" t="s">
        <v>51</v>
      </c>
      <c r="E316">
        <v>-10100</v>
      </c>
      <c r="F316" t="s">
        <v>2559</v>
      </c>
      <c r="G316" t="s">
        <v>1718</v>
      </c>
    </row>
    <row r="317" spans="2:7" x14ac:dyDescent="0.25">
      <c r="B317" t="s">
        <v>49</v>
      </c>
      <c r="C317" t="s">
        <v>50</v>
      </c>
      <c r="D317" t="s">
        <v>51</v>
      </c>
      <c r="E317">
        <v>-3660</v>
      </c>
      <c r="F317" t="s">
        <v>2559</v>
      </c>
      <c r="G317" t="s">
        <v>1718</v>
      </c>
    </row>
    <row r="318" spans="2:7" x14ac:dyDescent="0.25">
      <c r="B318" t="s">
        <v>49</v>
      </c>
      <c r="C318" t="s">
        <v>50</v>
      </c>
      <c r="D318" t="s">
        <v>51</v>
      </c>
      <c r="E318">
        <v>8560</v>
      </c>
      <c r="F318" t="s">
        <v>1869</v>
      </c>
      <c r="G318" t="s">
        <v>1870</v>
      </c>
    </row>
    <row r="319" spans="2:7" x14ac:dyDescent="0.25">
      <c r="B319" t="s">
        <v>49</v>
      </c>
      <c r="C319" t="s">
        <v>50</v>
      </c>
      <c r="D319" t="s">
        <v>51</v>
      </c>
      <c r="E319">
        <v>1235</v>
      </c>
      <c r="F319" t="s">
        <v>1869</v>
      </c>
      <c r="G319" t="s">
        <v>1640</v>
      </c>
    </row>
    <row r="320" spans="2:7" x14ac:dyDescent="0.25">
      <c r="B320" t="s">
        <v>49</v>
      </c>
      <c r="C320" t="s">
        <v>50</v>
      </c>
      <c r="D320" t="s">
        <v>51</v>
      </c>
      <c r="E320">
        <v>3200</v>
      </c>
      <c r="F320" t="s">
        <v>1871</v>
      </c>
      <c r="G320" t="s">
        <v>1806</v>
      </c>
    </row>
    <row r="321" spans="2:7" x14ac:dyDescent="0.25">
      <c r="B321" t="s">
        <v>49</v>
      </c>
      <c r="C321" t="s">
        <v>50</v>
      </c>
      <c r="D321" t="s">
        <v>51</v>
      </c>
      <c r="E321">
        <v>14025</v>
      </c>
      <c r="F321" t="s">
        <v>1866</v>
      </c>
      <c r="G321" t="s">
        <v>1867</v>
      </c>
    </row>
    <row r="322" spans="2:7" x14ac:dyDescent="0.25">
      <c r="B322" t="s">
        <v>49</v>
      </c>
      <c r="C322" t="s">
        <v>50</v>
      </c>
      <c r="D322" t="s">
        <v>51</v>
      </c>
      <c r="E322">
        <v>-45</v>
      </c>
      <c r="F322" t="s">
        <v>2559</v>
      </c>
      <c r="G322" t="s">
        <v>1610</v>
      </c>
    </row>
    <row r="323" spans="2:7" x14ac:dyDescent="0.25">
      <c r="B323" t="s">
        <v>49</v>
      </c>
      <c r="C323" t="s">
        <v>50</v>
      </c>
      <c r="D323" t="s">
        <v>51</v>
      </c>
      <c r="E323">
        <v>-20</v>
      </c>
      <c r="F323" t="s">
        <v>2559</v>
      </c>
      <c r="G323" t="s">
        <v>1610</v>
      </c>
    </row>
    <row r="324" spans="2:7" x14ac:dyDescent="0.25">
      <c r="B324" t="s">
        <v>49</v>
      </c>
      <c r="C324" t="s">
        <v>322</v>
      </c>
      <c r="D324" t="s">
        <v>323</v>
      </c>
      <c r="E324">
        <v>-3020</v>
      </c>
      <c r="F324" t="s">
        <v>2559</v>
      </c>
      <c r="G324" t="s">
        <v>1718</v>
      </c>
    </row>
    <row r="325" spans="2:7" x14ac:dyDescent="0.25">
      <c r="B325" t="s">
        <v>49</v>
      </c>
      <c r="C325" t="s">
        <v>322</v>
      </c>
      <c r="D325" t="s">
        <v>323</v>
      </c>
      <c r="E325">
        <v>-6980</v>
      </c>
      <c r="F325" t="s">
        <v>2559</v>
      </c>
      <c r="G325" t="s">
        <v>1718</v>
      </c>
    </row>
    <row r="326" spans="2:7" x14ac:dyDescent="0.25">
      <c r="B326" t="s">
        <v>49</v>
      </c>
      <c r="C326" t="s">
        <v>322</v>
      </c>
      <c r="D326" t="s">
        <v>323</v>
      </c>
      <c r="E326">
        <v>9320</v>
      </c>
      <c r="F326" t="s">
        <v>1874</v>
      </c>
      <c r="G326" t="s">
        <v>1867</v>
      </c>
    </row>
    <row r="327" spans="2:7" x14ac:dyDescent="0.25">
      <c r="B327" t="s">
        <v>49</v>
      </c>
      <c r="C327" t="s">
        <v>322</v>
      </c>
      <c r="D327" t="s">
        <v>323</v>
      </c>
      <c r="E327">
        <v>-60</v>
      </c>
      <c r="F327" t="s">
        <v>2559</v>
      </c>
      <c r="G327" t="s">
        <v>1610</v>
      </c>
    </row>
    <row r="328" spans="2:7" x14ac:dyDescent="0.25">
      <c r="B328" t="s">
        <v>49</v>
      </c>
      <c r="C328" t="s">
        <v>322</v>
      </c>
      <c r="D328" t="s">
        <v>323</v>
      </c>
      <c r="E328">
        <v>-1020</v>
      </c>
      <c r="F328" t="s">
        <v>2559</v>
      </c>
      <c r="G328" t="s">
        <v>1610</v>
      </c>
    </row>
    <row r="329" spans="2:7" x14ac:dyDescent="0.25">
      <c r="B329" t="s">
        <v>49</v>
      </c>
      <c r="C329" t="s">
        <v>322</v>
      </c>
      <c r="D329" t="s">
        <v>323</v>
      </c>
      <c r="E329">
        <v>-2720</v>
      </c>
      <c r="F329" t="s">
        <v>2559</v>
      </c>
      <c r="G329" t="s">
        <v>1610</v>
      </c>
    </row>
    <row r="330" spans="2:7" x14ac:dyDescent="0.25">
      <c r="B330" t="s">
        <v>49</v>
      </c>
      <c r="C330" t="s">
        <v>322</v>
      </c>
      <c r="D330" t="s">
        <v>323</v>
      </c>
      <c r="E330">
        <v>-420</v>
      </c>
      <c r="F330" t="s">
        <v>2559</v>
      </c>
      <c r="G330" t="s">
        <v>1610</v>
      </c>
    </row>
    <row r="331" spans="2:7" x14ac:dyDescent="0.25">
      <c r="B331" t="s">
        <v>49</v>
      </c>
      <c r="C331" t="s">
        <v>322</v>
      </c>
      <c r="D331" t="s">
        <v>323</v>
      </c>
      <c r="E331">
        <v>-420</v>
      </c>
      <c r="F331" t="s">
        <v>2559</v>
      </c>
      <c r="G331" t="s">
        <v>1610</v>
      </c>
    </row>
    <row r="332" spans="2:7" x14ac:dyDescent="0.25">
      <c r="B332" t="s">
        <v>49</v>
      </c>
      <c r="C332" t="s">
        <v>322</v>
      </c>
      <c r="D332" t="s">
        <v>323</v>
      </c>
      <c r="E332">
        <v>-1840</v>
      </c>
      <c r="F332" t="s">
        <v>2559</v>
      </c>
      <c r="G332" t="s">
        <v>1610</v>
      </c>
    </row>
    <row r="333" spans="2:7" x14ac:dyDescent="0.25">
      <c r="B333" t="s">
        <v>49</v>
      </c>
      <c r="C333" t="s">
        <v>322</v>
      </c>
      <c r="D333" t="s">
        <v>323</v>
      </c>
      <c r="E333">
        <v>5420</v>
      </c>
      <c r="F333" t="s">
        <v>1875</v>
      </c>
      <c r="G333" t="s">
        <v>1775</v>
      </c>
    </row>
    <row r="334" spans="2:7" x14ac:dyDescent="0.25">
      <c r="B334" t="s">
        <v>49</v>
      </c>
      <c r="C334" t="s">
        <v>322</v>
      </c>
      <c r="D334" t="s">
        <v>323</v>
      </c>
      <c r="E334">
        <v>-80</v>
      </c>
      <c r="F334" t="s">
        <v>2559</v>
      </c>
      <c r="G334" t="s">
        <v>1610</v>
      </c>
    </row>
    <row r="335" spans="2:7" x14ac:dyDescent="0.25">
      <c r="B335" t="s">
        <v>49</v>
      </c>
      <c r="C335" t="s">
        <v>322</v>
      </c>
      <c r="D335" t="s">
        <v>323</v>
      </c>
      <c r="E335">
        <v>10000</v>
      </c>
      <c r="F335" t="s">
        <v>1876</v>
      </c>
      <c r="G335" t="s">
        <v>1614</v>
      </c>
    </row>
    <row r="336" spans="2:7" x14ac:dyDescent="0.25">
      <c r="B336" t="s">
        <v>49</v>
      </c>
      <c r="C336" t="s">
        <v>322</v>
      </c>
      <c r="D336" t="s">
        <v>323</v>
      </c>
      <c r="E336">
        <v>10000</v>
      </c>
      <c r="F336" t="s">
        <v>1877</v>
      </c>
      <c r="G336" t="s">
        <v>1614</v>
      </c>
    </row>
    <row r="337" spans="2:7" x14ac:dyDescent="0.25">
      <c r="B337" t="s">
        <v>49</v>
      </c>
      <c r="C337" t="s">
        <v>322</v>
      </c>
      <c r="D337" t="s">
        <v>323</v>
      </c>
      <c r="E337">
        <v>6800</v>
      </c>
      <c r="F337" t="s">
        <v>1878</v>
      </c>
      <c r="G337" t="s">
        <v>1806</v>
      </c>
    </row>
    <row r="338" spans="2:7" x14ac:dyDescent="0.25">
      <c r="B338" t="s">
        <v>49</v>
      </c>
      <c r="C338" t="s">
        <v>322</v>
      </c>
      <c r="D338" t="s">
        <v>323</v>
      </c>
      <c r="E338">
        <v>10260</v>
      </c>
      <c r="F338" t="s">
        <v>1879</v>
      </c>
      <c r="G338" t="s">
        <v>1654</v>
      </c>
    </row>
    <row r="339" spans="2:7" x14ac:dyDescent="0.25">
      <c r="B339" t="s">
        <v>49</v>
      </c>
      <c r="C339" t="s">
        <v>322</v>
      </c>
      <c r="D339" t="s">
        <v>323</v>
      </c>
      <c r="E339">
        <v>-40</v>
      </c>
      <c r="F339" t="s">
        <v>2559</v>
      </c>
      <c r="G339" t="s">
        <v>1646</v>
      </c>
    </row>
    <row r="340" spans="2:7" x14ac:dyDescent="0.25">
      <c r="B340" t="s">
        <v>131</v>
      </c>
      <c r="C340" t="s">
        <v>634</v>
      </c>
      <c r="D340" t="s">
        <v>635</v>
      </c>
      <c r="E340">
        <v>225</v>
      </c>
      <c r="F340" t="s">
        <v>1880</v>
      </c>
      <c r="G340" t="s">
        <v>1840</v>
      </c>
    </row>
    <row r="341" spans="2:7" x14ac:dyDescent="0.25">
      <c r="B341" t="s">
        <v>131</v>
      </c>
      <c r="C341" t="s">
        <v>945</v>
      </c>
      <c r="D341" t="s">
        <v>946</v>
      </c>
      <c r="E341">
        <v>-150</v>
      </c>
      <c r="F341" t="s">
        <v>2559</v>
      </c>
      <c r="G341" t="s">
        <v>2110</v>
      </c>
    </row>
    <row r="342" spans="2:7" x14ac:dyDescent="0.25">
      <c r="B342" t="s">
        <v>377</v>
      </c>
      <c r="C342" t="s">
        <v>378</v>
      </c>
      <c r="D342" t="s">
        <v>379</v>
      </c>
      <c r="E342">
        <v>990</v>
      </c>
      <c r="F342" t="s">
        <v>1881</v>
      </c>
      <c r="G342" t="s">
        <v>1746</v>
      </c>
    </row>
    <row r="343" spans="2:7" x14ac:dyDescent="0.25">
      <c r="B343" t="s">
        <v>214</v>
      </c>
      <c r="C343" t="s">
        <v>755</v>
      </c>
      <c r="D343" t="s">
        <v>756</v>
      </c>
      <c r="E343">
        <v>910</v>
      </c>
      <c r="F343" t="s">
        <v>1882</v>
      </c>
      <c r="G343" t="s">
        <v>1746</v>
      </c>
    </row>
    <row r="344" spans="2:7" x14ac:dyDescent="0.25">
      <c r="B344" t="s">
        <v>214</v>
      </c>
      <c r="C344" t="s">
        <v>780</v>
      </c>
      <c r="D344" t="s">
        <v>781</v>
      </c>
      <c r="E344">
        <v>900</v>
      </c>
      <c r="F344" t="s">
        <v>1883</v>
      </c>
      <c r="G344" t="s">
        <v>1640</v>
      </c>
    </row>
    <row r="345" spans="2:7" x14ac:dyDescent="0.25">
      <c r="B345" t="s">
        <v>214</v>
      </c>
      <c r="C345" t="s">
        <v>780</v>
      </c>
      <c r="D345" t="s">
        <v>781</v>
      </c>
      <c r="E345">
        <v>900</v>
      </c>
      <c r="F345" t="s">
        <v>1884</v>
      </c>
      <c r="G345" t="s">
        <v>1640</v>
      </c>
    </row>
    <row r="346" spans="2:7" x14ac:dyDescent="0.25">
      <c r="B346" t="s">
        <v>214</v>
      </c>
      <c r="C346" t="s">
        <v>780</v>
      </c>
      <c r="D346" t="s">
        <v>781</v>
      </c>
      <c r="E346">
        <v>900</v>
      </c>
      <c r="F346" t="s">
        <v>1885</v>
      </c>
      <c r="G346" t="s">
        <v>1779</v>
      </c>
    </row>
    <row r="347" spans="2:7" x14ac:dyDescent="0.25">
      <c r="B347" t="s">
        <v>214</v>
      </c>
      <c r="C347" t="s">
        <v>780</v>
      </c>
      <c r="D347" t="s">
        <v>781</v>
      </c>
      <c r="E347">
        <v>900</v>
      </c>
      <c r="F347" t="s">
        <v>1886</v>
      </c>
      <c r="G347" t="s">
        <v>1779</v>
      </c>
    </row>
    <row r="348" spans="2:7" x14ac:dyDescent="0.25">
      <c r="B348" t="s">
        <v>214</v>
      </c>
      <c r="C348" t="s">
        <v>780</v>
      </c>
      <c r="D348" t="s">
        <v>781</v>
      </c>
      <c r="E348">
        <v>900</v>
      </c>
      <c r="F348" t="s">
        <v>1887</v>
      </c>
      <c r="G348" t="s">
        <v>1779</v>
      </c>
    </row>
    <row r="349" spans="2:7" x14ac:dyDescent="0.25">
      <c r="B349" t="s">
        <v>214</v>
      </c>
      <c r="C349" t="s">
        <v>780</v>
      </c>
      <c r="D349" t="s">
        <v>781</v>
      </c>
      <c r="E349">
        <v>900</v>
      </c>
      <c r="F349" t="s">
        <v>1888</v>
      </c>
      <c r="G349" t="s">
        <v>1779</v>
      </c>
    </row>
    <row r="350" spans="2:7" x14ac:dyDescent="0.25">
      <c r="B350" t="s">
        <v>214</v>
      </c>
      <c r="C350" t="s">
        <v>780</v>
      </c>
      <c r="D350" t="s">
        <v>781</v>
      </c>
      <c r="E350">
        <v>900</v>
      </c>
      <c r="F350" t="s">
        <v>1889</v>
      </c>
      <c r="G350" t="s">
        <v>1779</v>
      </c>
    </row>
    <row r="351" spans="2:7" x14ac:dyDescent="0.25">
      <c r="B351" t="s">
        <v>214</v>
      </c>
      <c r="C351" t="s">
        <v>780</v>
      </c>
      <c r="D351" t="s">
        <v>781</v>
      </c>
      <c r="E351">
        <v>900</v>
      </c>
      <c r="F351" t="s">
        <v>1890</v>
      </c>
      <c r="G351" t="s">
        <v>1779</v>
      </c>
    </row>
    <row r="352" spans="2:7" x14ac:dyDescent="0.25">
      <c r="B352" t="s">
        <v>214</v>
      </c>
      <c r="C352" t="s">
        <v>780</v>
      </c>
      <c r="D352" t="s">
        <v>781</v>
      </c>
      <c r="E352">
        <v>900</v>
      </c>
      <c r="F352" t="s">
        <v>1891</v>
      </c>
      <c r="G352" t="s">
        <v>1779</v>
      </c>
    </row>
    <row r="353" spans="2:7" x14ac:dyDescent="0.25">
      <c r="B353" t="s">
        <v>214</v>
      </c>
      <c r="C353" t="s">
        <v>780</v>
      </c>
      <c r="D353" t="s">
        <v>781</v>
      </c>
      <c r="E353">
        <v>630</v>
      </c>
      <c r="F353" t="s">
        <v>1892</v>
      </c>
      <c r="G353" t="s">
        <v>1779</v>
      </c>
    </row>
    <row r="354" spans="2:7" x14ac:dyDescent="0.25">
      <c r="B354" t="s">
        <v>214</v>
      </c>
      <c r="C354" t="s">
        <v>780</v>
      </c>
      <c r="D354" t="s">
        <v>781</v>
      </c>
      <c r="E354">
        <v>900</v>
      </c>
      <c r="F354" t="s">
        <v>1893</v>
      </c>
      <c r="G354" t="s">
        <v>1779</v>
      </c>
    </row>
    <row r="355" spans="2:7" x14ac:dyDescent="0.25">
      <c r="B355" t="s">
        <v>214</v>
      </c>
      <c r="C355" t="s">
        <v>780</v>
      </c>
      <c r="D355" t="s">
        <v>781</v>
      </c>
      <c r="E355">
        <v>900</v>
      </c>
      <c r="F355" t="s">
        <v>1894</v>
      </c>
      <c r="G355" t="s">
        <v>1779</v>
      </c>
    </row>
    <row r="356" spans="2:7" x14ac:dyDescent="0.25">
      <c r="B356" t="s">
        <v>214</v>
      </c>
      <c r="C356" t="s">
        <v>780</v>
      </c>
      <c r="D356" t="s">
        <v>781</v>
      </c>
      <c r="E356">
        <v>900</v>
      </c>
      <c r="F356" t="s">
        <v>1895</v>
      </c>
      <c r="G356" t="s">
        <v>1779</v>
      </c>
    </row>
    <row r="357" spans="2:7" x14ac:dyDescent="0.25">
      <c r="B357" t="s">
        <v>214</v>
      </c>
      <c r="C357" t="s">
        <v>780</v>
      </c>
      <c r="D357" t="s">
        <v>781</v>
      </c>
      <c r="E357">
        <v>900</v>
      </c>
      <c r="F357" t="s">
        <v>1896</v>
      </c>
      <c r="G357" t="s">
        <v>1779</v>
      </c>
    </row>
    <row r="358" spans="2:7" x14ac:dyDescent="0.25">
      <c r="B358" t="s">
        <v>34</v>
      </c>
      <c r="C358" t="s">
        <v>1086</v>
      </c>
      <c r="D358" t="s">
        <v>1087</v>
      </c>
      <c r="E358">
        <v>228</v>
      </c>
      <c r="F358" t="s">
        <v>1897</v>
      </c>
      <c r="G358" t="s">
        <v>1870</v>
      </c>
    </row>
    <row r="359" spans="2:7" x14ac:dyDescent="0.25">
      <c r="B359" t="s">
        <v>34</v>
      </c>
      <c r="C359" t="s">
        <v>1086</v>
      </c>
      <c r="D359" t="s">
        <v>1087</v>
      </c>
      <c r="E359">
        <v>2621</v>
      </c>
      <c r="F359" t="s">
        <v>1898</v>
      </c>
      <c r="G359" t="s">
        <v>1736</v>
      </c>
    </row>
    <row r="360" spans="2:7" x14ac:dyDescent="0.25">
      <c r="B360" t="s">
        <v>261</v>
      </c>
      <c r="C360" t="s">
        <v>264</v>
      </c>
      <c r="D360" t="s">
        <v>265</v>
      </c>
      <c r="E360">
        <v>3188</v>
      </c>
      <c r="F360" t="s">
        <v>1899</v>
      </c>
      <c r="G360" t="s">
        <v>1629</v>
      </c>
    </row>
    <row r="361" spans="2:7" x14ac:dyDescent="0.25">
      <c r="B361" t="s">
        <v>261</v>
      </c>
      <c r="C361" t="s">
        <v>264</v>
      </c>
      <c r="D361" t="s">
        <v>265</v>
      </c>
      <c r="E361">
        <v>-830</v>
      </c>
      <c r="F361" t="s">
        <v>2559</v>
      </c>
      <c r="G361" t="s">
        <v>1775</v>
      </c>
    </row>
    <row r="362" spans="2:7" x14ac:dyDescent="0.25">
      <c r="B362" t="s">
        <v>261</v>
      </c>
      <c r="C362" t="s">
        <v>264</v>
      </c>
      <c r="D362" t="s">
        <v>265</v>
      </c>
      <c r="E362">
        <v>660</v>
      </c>
      <c r="F362" t="s">
        <v>1900</v>
      </c>
      <c r="G362" t="s">
        <v>1643</v>
      </c>
    </row>
    <row r="363" spans="2:7" x14ac:dyDescent="0.25">
      <c r="B363" t="s">
        <v>261</v>
      </c>
      <c r="C363" t="s">
        <v>264</v>
      </c>
      <c r="D363" t="s">
        <v>265</v>
      </c>
      <c r="E363">
        <v>-1656</v>
      </c>
      <c r="F363" t="s">
        <v>2559</v>
      </c>
      <c r="G363" t="s">
        <v>1739</v>
      </c>
    </row>
    <row r="364" spans="2:7" x14ac:dyDescent="0.25">
      <c r="B364" t="s">
        <v>261</v>
      </c>
      <c r="C364" t="s">
        <v>264</v>
      </c>
      <c r="D364" t="s">
        <v>265</v>
      </c>
      <c r="E364">
        <v>-1080</v>
      </c>
      <c r="F364" t="s">
        <v>2559</v>
      </c>
      <c r="G364" t="s">
        <v>1739</v>
      </c>
    </row>
    <row r="365" spans="2:7" x14ac:dyDescent="0.25">
      <c r="B365" t="s">
        <v>261</v>
      </c>
      <c r="C365" t="s">
        <v>264</v>
      </c>
      <c r="D365" t="s">
        <v>265</v>
      </c>
      <c r="E365">
        <v>660</v>
      </c>
      <c r="F365" t="s">
        <v>1901</v>
      </c>
      <c r="G365" t="s">
        <v>1624</v>
      </c>
    </row>
    <row r="366" spans="2:7" x14ac:dyDescent="0.25">
      <c r="B366" t="s">
        <v>49</v>
      </c>
      <c r="C366" t="s">
        <v>1008</v>
      </c>
      <c r="D366" t="s">
        <v>1009</v>
      </c>
      <c r="E366">
        <v>-545</v>
      </c>
      <c r="F366" t="s">
        <v>2559</v>
      </c>
      <c r="G366" t="s">
        <v>1756</v>
      </c>
    </row>
    <row r="367" spans="2:7" x14ac:dyDescent="0.25">
      <c r="B367" t="s">
        <v>49</v>
      </c>
      <c r="C367" t="s">
        <v>1008</v>
      </c>
      <c r="D367" t="s">
        <v>1009</v>
      </c>
      <c r="E367">
        <v>2005</v>
      </c>
      <c r="F367" t="s">
        <v>1902</v>
      </c>
      <c r="G367" t="s">
        <v>1629</v>
      </c>
    </row>
    <row r="368" spans="2:7" x14ac:dyDescent="0.25">
      <c r="B368" t="s">
        <v>49</v>
      </c>
      <c r="C368" t="s">
        <v>1008</v>
      </c>
      <c r="D368" t="s">
        <v>1009</v>
      </c>
      <c r="E368">
        <v>-2025</v>
      </c>
      <c r="F368" t="s">
        <v>2559</v>
      </c>
      <c r="G368" t="s">
        <v>1775</v>
      </c>
    </row>
    <row r="369" spans="2:7" x14ac:dyDescent="0.25">
      <c r="B369" t="s">
        <v>49</v>
      </c>
      <c r="C369" t="s">
        <v>1008</v>
      </c>
      <c r="D369" t="s">
        <v>1009</v>
      </c>
      <c r="E369">
        <v>5800</v>
      </c>
      <c r="F369" t="s">
        <v>1903</v>
      </c>
      <c r="G369" t="s">
        <v>1643</v>
      </c>
    </row>
    <row r="370" spans="2:7" x14ac:dyDescent="0.25">
      <c r="B370" t="s">
        <v>49</v>
      </c>
      <c r="C370" t="s">
        <v>1008</v>
      </c>
      <c r="D370" t="s">
        <v>1009</v>
      </c>
      <c r="E370">
        <v>-1980</v>
      </c>
      <c r="F370" t="s">
        <v>2559</v>
      </c>
      <c r="G370" t="s">
        <v>1739</v>
      </c>
    </row>
    <row r="371" spans="2:7" x14ac:dyDescent="0.25">
      <c r="B371" t="s">
        <v>49</v>
      </c>
      <c r="C371" t="s">
        <v>1008</v>
      </c>
      <c r="D371" t="s">
        <v>1009</v>
      </c>
      <c r="E371">
        <v>3000</v>
      </c>
      <c r="F371" t="s">
        <v>1904</v>
      </c>
      <c r="G371" t="s">
        <v>1739</v>
      </c>
    </row>
    <row r="372" spans="2:7" x14ac:dyDescent="0.25">
      <c r="B372" t="s">
        <v>49</v>
      </c>
      <c r="C372" t="s">
        <v>1008</v>
      </c>
      <c r="D372" t="s">
        <v>1009</v>
      </c>
      <c r="E372">
        <v>3140</v>
      </c>
      <c r="F372" t="s">
        <v>1904</v>
      </c>
      <c r="G372" t="s">
        <v>1786</v>
      </c>
    </row>
    <row r="373" spans="2:7" x14ac:dyDescent="0.25">
      <c r="B373" t="s">
        <v>261</v>
      </c>
      <c r="C373" t="s">
        <v>892</v>
      </c>
      <c r="D373" t="s">
        <v>893</v>
      </c>
      <c r="E373">
        <v>4740</v>
      </c>
      <c r="F373" t="s">
        <v>1905</v>
      </c>
      <c r="G373" t="s">
        <v>1629</v>
      </c>
    </row>
    <row r="374" spans="2:7" x14ac:dyDescent="0.25">
      <c r="B374" t="s">
        <v>261</v>
      </c>
      <c r="C374" t="s">
        <v>892</v>
      </c>
      <c r="D374" t="s">
        <v>893</v>
      </c>
      <c r="E374">
        <v>-120</v>
      </c>
      <c r="F374" t="s">
        <v>2559</v>
      </c>
      <c r="G374" t="s">
        <v>1775</v>
      </c>
    </row>
    <row r="375" spans="2:7" x14ac:dyDescent="0.25">
      <c r="B375" t="s">
        <v>261</v>
      </c>
      <c r="C375" t="s">
        <v>892</v>
      </c>
      <c r="D375" t="s">
        <v>893</v>
      </c>
      <c r="E375">
        <v>-2420</v>
      </c>
      <c r="F375" t="s">
        <v>2559</v>
      </c>
      <c r="G375" t="s">
        <v>1775</v>
      </c>
    </row>
    <row r="376" spans="2:7" x14ac:dyDescent="0.25">
      <c r="B376" t="s">
        <v>261</v>
      </c>
      <c r="C376" t="s">
        <v>892</v>
      </c>
      <c r="D376" t="s">
        <v>893</v>
      </c>
      <c r="E376">
        <v>-1640</v>
      </c>
      <c r="F376" t="s">
        <v>2559</v>
      </c>
      <c r="G376" t="s">
        <v>1775</v>
      </c>
    </row>
    <row r="377" spans="2:7" x14ac:dyDescent="0.25">
      <c r="B377" t="s">
        <v>261</v>
      </c>
      <c r="C377" t="s">
        <v>892</v>
      </c>
      <c r="D377" t="s">
        <v>893</v>
      </c>
      <c r="E377">
        <v>-1440</v>
      </c>
      <c r="F377" t="s">
        <v>2559</v>
      </c>
      <c r="G377" t="s">
        <v>1775</v>
      </c>
    </row>
    <row r="378" spans="2:7" x14ac:dyDescent="0.25">
      <c r="B378" t="s">
        <v>261</v>
      </c>
      <c r="C378" t="s">
        <v>892</v>
      </c>
      <c r="D378" t="s">
        <v>893</v>
      </c>
      <c r="E378">
        <v>1680</v>
      </c>
      <c r="F378" t="s">
        <v>1906</v>
      </c>
      <c r="G378" t="s">
        <v>1632</v>
      </c>
    </row>
    <row r="379" spans="2:7" x14ac:dyDescent="0.25">
      <c r="B379" t="s">
        <v>261</v>
      </c>
      <c r="C379" t="s">
        <v>892</v>
      </c>
      <c r="D379" t="s">
        <v>893</v>
      </c>
      <c r="E379">
        <v>4580</v>
      </c>
      <c r="F379" t="s">
        <v>1907</v>
      </c>
      <c r="G379" t="s">
        <v>1706</v>
      </c>
    </row>
    <row r="380" spans="2:7" x14ac:dyDescent="0.25">
      <c r="B380" t="s">
        <v>261</v>
      </c>
      <c r="C380" t="s">
        <v>892</v>
      </c>
      <c r="D380" t="s">
        <v>893</v>
      </c>
      <c r="E380">
        <v>-860</v>
      </c>
      <c r="F380" t="s">
        <v>2559</v>
      </c>
      <c r="G380" t="s">
        <v>1739</v>
      </c>
    </row>
    <row r="381" spans="2:7" x14ac:dyDescent="0.25">
      <c r="B381" t="s">
        <v>261</v>
      </c>
      <c r="C381" t="s">
        <v>892</v>
      </c>
      <c r="D381" t="s">
        <v>893</v>
      </c>
      <c r="E381">
        <v>-1000</v>
      </c>
      <c r="F381" t="s">
        <v>2559</v>
      </c>
      <c r="G381" t="s">
        <v>1739</v>
      </c>
    </row>
    <row r="382" spans="2:7" x14ac:dyDescent="0.25">
      <c r="B382" t="s">
        <v>261</v>
      </c>
      <c r="C382" t="s">
        <v>892</v>
      </c>
      <c r="D382" t="s">
        <v>893</v>
      </c>
      <c r="E382">
        <v>6680</v>
      </c>
      <c r="F382" t="s">
        <v>1908</v>
      </c>
      <c r="G382" t="s">
        <v>1624</v>
      </c>
    </row>
    <row r="383" spans="2:7" x14ac:dyDescent="0.25">
      <c r="B383" t="s">
        <v>80</v>
      </c>
      <c r="C383" t="s">
        <v>572</v>
      </c>
      <c r="D383" t="s">
        <v>573</v>
      </c>
      <c r="E383">
        <v>20</v>
      </c>
      <c r="F383" t="s">
        <v>1909</v>
      </c>
      <c r="G383" t="s">
        <v>1622</v>
      </c>
    </row>
    <row r="384" spans="2:7" x14ac:dyDescent="0.25">
      <c r="B384" t="s">
        <v>80</v>
      </c>
      <c r="C384" t="s">
        <v>240</v>
      </c>
      <c r="D384" t="s">
        <v>241</v>
      </c>
      <c r="E384">
        <v>60</v>
      </c>
      <c r="F384" t="s">
        <v>1910</v>
      </c>
      <c r="G384" t="s">
        <v>1614</v>
      </c>
    </row>
    <row r="385" spans="2:7" x14ac:dyDescent="0.25">
      <c r="B385" t="s">
        <v>80</v>
      </c>
      <c r="C385" t="s">
        <v>184</v>
      </c>
      <c r="D385" t="s">
        <v>185</v>
      </c>
      <c r="E385">
        <v>-100</v>
      </c>
      <c r="F385" t="s">
        <v>2559</v>
      </c>
      <c r="G385" t="s">
        <v>1826</v>
      </c>
    </row>
    <row r="386" spans="2:7" x14ac:dyDescent="0.25">
      <c r="B386" t="s">
        <v>80</v>
      </c>
      <c r="C386" t="s">
        <v>184</v>
      </c>
      <c r="D386" t="s">
        <v>185</v>
      </c>
      <c r="E386">
        <v>-20</v>
      </c>
      <c r="F386" t="s">
        <v>2559</v>
      </c>
      <c r="G386" t="s">
        <v>1646</v>
      </c>
    </row>
    <row r="387" spans="2:7" x14ac:dyDescent="0.25">
      <c r="B387" t="s">
        <v>164</v>
      </c>
      <c r="C387" t="s">
        <v>167</v>
      </c>
      <c r="D387" t="s">
        <v>168</v>
      </c>
      <c r="E387">
        <v>34</v>
      </c>
      <c r="F387" t="s">
        <v>1911</v>
      </c>
      <c r="G387" t="s">
        <v>1631</v>
      </c>
    </row>
    <row r="388" spans="2:7" x14ac:dyDescent="0.25">
      <c r="B388" t="s">
        <v>164</v>
      </c>
      <c r="C388" t="s">
        <v>167</v>
      </c>
      <c r="D388" t="s">
        <v>168</v>
      </c>
      <c r="E388">
        <v>15</v>
      </c>
      <c r="F388" t="s">
        <v>1912</v>
      </c>
      <c r="G388" t="s">
        <v>1742</v>
      </c>
    </row>
    <row r="389" spans="2:7" x14ac:dyDescent="0.25">
      <c r="B389" t="s">
        <v>164</v>
      </c>
      <c r="C389" t="s">
        <v>167</v>
      </c>
      <c r="D389" t="s">
        <v>168</v>
      </c>
      <c r="E389">
        <v>5</v>
      </c>
      <c r="F389" t="s">
        <v>1913</v>
      </c>
      <c r="G389" t="s">
        <v>1697</v>
      </c>
    </row>
    <row r="390" spans="2:7" x14ac:dyDescent="0.25">
      <c r="B390" t="s">
        <v>164</v>
      </c>
      <c r="C390" t="s">
        <v>167</v>
      </c>
      <c r="D390" t="s">
        <v>168</v>
      </c>
      <c r="E390">
        <v>19</v>
      </c>
      <c r="F390" t="s">
        <v>1914</v>
      </c>
      <c r="G390" t="s">
        <v>1803</v>
      </c>
    </row>
    <row r="391" spans="2:7" x14ac:dyDescent="0.25">
      <c r="B391" t="s">
        <v>164</v>
      </c>
      <c r="C391" t="s">
        <v>400</v>
      </c>
      <c r="D391" t="s">
        <v>401</v>
      </c>
      <c r="E391">
        <v>10</v>
      </c>
      <c r="F391" t="s">
        <v>1915</v>
      </c>
      <c r="G391" t="s">
        <v>1724</v>
      </c>
    </row>
    <row r="392" spans="2:7" x14ac:dyDescent="0.25">
      <c r="B392" t="s">
        <v>164</v>
      </c>
      <c r="C392" t="s">
        <v>400</v>
      </c>
      <c r="D392" t="s">
        <v>401</v>
      </c>
      <c r="E392">
        <v>10</v>
      </c>
      <c r="F392" t="s">
        <v>1916</v>
      </c>
      <c r="G392" t="s">
        <v>1697</v>
      </c>
    </row>
    <row r="393" spans="2:7" x14ac:dyDescent="0.25">
      <c r="B393" t="s">
        <v>164</v>
      </c>
      <c r="C393" t="s">
        <v>400</v>
      </c>
      <c r="D393" t="s">
        <v>401</v>
      </c>
      <c r="E393">
        <v>67</v>
      </c>
      <c r="F393" t="s">
        <v>1917</v>
      </c>
      <c r="G393" t="s">
        <v>1803</v>
      </c>
    </row>
    <row r="394" spans="2:7" x14ac:dyDescent="0.25">
      <c r="B394" t="s">
        <v>164</v>
      </c>
      <c r="C394" t="s">
        <v>720</v>
      </c>
      <c r="D394" t="s">
        <v>721</v>
      </c>
      <c r="E394">
        <v>-76</v>
      </c>
      <c r="F394" t="s">
        <v>2559</v>
      </c>
      <c r="G394" t="s">
        <v>1736</v>
      </c>
    </row>
    <row r="395" spans="2:7" x14ac:dyDescent="0.25">
      <c r="B395" t="s">
        <v>164</v>
      </c>
      <c r="C395" t="s">
        <v>720</v>
      </c>
      <c r="D395" t="s">
        <v>721</v>
      </c>
      <c r="E395">
        <v>-33</v>
      </c>
      <c r="F395" t="s">
        <v>2559</v>
      </c>
      <c r="G395" t="s">
        <v>1736</v>
      </c>
    </row>
    <row r="396" spans="2:7" x14ac:dyDescent="0.25">
      <c r="B396" t="s">
        <v>164</v>
      </c>
      <c r="C396" t="s">
        <v>720</v>
      </c>
      <c r="D396" t="s">
        <v>721</v>
      </c>
      <c r="E396">
        <v>-35</v>
      </c>
      <c r="F396" t="s">
        <v>2559</v>
      </c>
      <c r="G396" t="s">
        <v>1736</v>
      </c>
    </row>
    <row r="397" spans="2:7" x14ac:dyDescent="0.25">
      <c r="B397" t="s">
        <v>164</v>
      </c>
      <c r="C397" t="s">
        <v>169</v>
      </c>
      <c r="D397" t="s">
        <v>170</v>
      </c>
      <c r="E397">
        <v>20</v>
      </c>
      <c r="F397" t="s">
        <v>1918</v>
      </c>
      <c r="G397" t="s">
        <v>1614</v>
      </c>
    </row>
    <row r="398" spans="2:7" x14ac:dyDescent="0.25">
      <c r="B398" t="s">
        <v>164</v>
      </c>
      <c r="C398" t="s">
        <v>169</v>
      </c>
      <c r="D398" t="s">
        <v>170</v>
      </c>
      <c r="E398">
        <v>-15</v>
      </c>
      <c r="F398" t="s">
        <v>2559</v>
      </c>
      <c r="G398" t="s">
        <v>1736</v>
      </c>
    </row>
    <row r="399" spans="2:7" x14ac:dyDescent="0.25">
      <c r="B399" t="s">
        <v>164</v>
      </c>
      <c r="C399" t="s">
        <v>169</v>
      </c>
      <c r="D399" t="s">
        <v>170</v>
      </c>
      <c r="E399">
        <v>5</v>
      </c>
      <c r="F399" t="s">
        <v>1919</v>
      </c>
      <c r="G399" t="s">
        <v>1697</v>
      </c>
    </row>
    <row r="400" spans="2:7" x14ac:dyDescent="0.25">
      <c r="B400" t="s">
        <v>164</v>
      </c>
      <c r="C400" t="s">
        <v>169</v>
      </c>
      <c r="D400" t="s">
        <v>170</v>
      </c>
      <c r="E400">
        <v>60</v>
      </c>
      <c r="F400" t="s">
        <v>1920</v>
      </c>
      <c r="G400" t="s">
        <v>1803</v>
      </c>
    </row>
    <row r="401" spans="2:7" x14ac:dyDescent="0.25">
      <c r="B401" t="s">
        <v>275</v>
      </c>
      <c r="C401" t="s">
        <v>276</v>
      </c>
      <c r="D401" t="s">
        <v>277</v>
      </c>
      <c r="E401">
        <v>-1</v>
      </c>
      <c r="F401" t="s">
        <v>2559</v>
      </c>
      <c r="G401" t="s">
        <v>1632</v>
      </c>
    </row>
    <row r="402" spans="2:7" x14ac:dyDescent="0.25">
      <c r="B402" t="s">
        <v>131</v>
      </c>
      <c r="C402" t="s">
        <v>757</v>
      </c>
      <c r="D402" t="s">
        <v>758</v>
      </c>
      <c r="E402">
        <v>-80</v>
      </c>
      <c r="F402" t="s">
        <v>2559</v>
      </c>
      <c r="G402" t="s">
        <v>2110</v>
      </c>
    </row>
    <row r="403" spans="2:7" x14ac:dyDescent="0.25">
      <c r="B403" t="s">
        <v>20</v>
      </c>
      <c r="C403" t="s">
        <v>1119</v>
      </c>
      <c r="D403" t="s">
        <v>1120</v>
      </c>
      <c r="E403">
        <v>-1680</v>
      </c>
      <c r="F403" t="s">
        <v>2559</v>
      </c>
      <c r="G403" t="s">
        <v>1736</v>
      </c>
    </row>
    <row r="404" spans="2:7" x14ac:dyDescent="0.25">
      <c r="B404" t="s">
        <v>705</v>
      </c>
      <c r="C404" t="s">
        <v>1117</v>
      </c>
      <c r="D404" t="s">
        <v>1118</v>
      </c>
      <c r="E404">
        <v>195</v>
      </c>
      <c r="F404" t="s">
        <v>1921</v>
      </c>
      <c r="G404" t="s">
        <v>1614</v>
      </c>
    </row>
    <row r="405" spans="2:7" x14ac:dyDescent="0.25">
      <c r="B405" t="s">
        <v>705</v>
      </c>
      <c r="C405" t="s">
        <v>1117</v>
      </c>
      <c r="D405" t="s">
        <v>1118</v>
      </c>
      <c r="E405">
        <v>305</v>
      </c>
      <c r="F405" t="s">
        <v>1921</v>
      </c>
      <c r="G405" t="s">
        <v>1634</v>
      </c>
    </row>
    <row r="406" spans="2:7" x14ac:dyDescent="0.25">
      <c r="B406" t="s">
        <v>705</v>
      </c>
      <c r="C406" t="s">
        <v>706</v>
      </c>
      <c r="D406" t="s">
        <v>707</v>
      </c>
      <c r="E406">
        <v>-220</v>
      </c>
      <c r="F406" t="s">
        <v>2559</v>
      </c>
      <c r="G406" t="s">
        <v>1614</v>
      </c>
    </row>
    <row r="407" spans="2:7" x14ac:dyDescent="0.25">
      <c r="B407" t="s">
        <v>705</v>
      </c>
      <c r="C407" t="s">
        <v>706</v>
      </c>
      <c r="D407" t="s">
        <v>707</v>
      </c>
      <c r="E407">
        <v>-280</v>
      </c>
      <c r="F407" t="s">
        <v>2559</v>
      </c>
      <c r="G407" t="s">
        <v>1634</v>
      </c>
    </row>
    <row r="408" spans="2:7" x14ac:dyDescent="0.25">
      <c r="B408" t="s">
        <v>705</v>
      </c>
      <c r="C408" t="s">
        <v>706</v>
      </c>
      <c r="D408" t="s">
        <v>707</v>
      </c>
      <c r="E408">
        <v>620</v>
      </c>
      <c r="F408" t="s">
        <v>1922</v>
      </c>
      <c r="G408" t="s">
        <v>1605</v>
      </c>
    </row>
    <row r="409" spans="2:7" x14ac:dyDescent="0.25">
      <c r="B409" t="s">
        <v>705</v>
      </c>
      <c r="C409" t="s">
        <v>706</v>
      </c>
      <c r="D409" t="s">
        <v>707</v>
      </c>
      <c r="E409">
        <v>-20</v>
      </c>
      <c r="F409" t="s">
        <v>2559</v>
      </c>
      <c r="G409" t="s">
        <v>1605</v>
      </c>
    </row>
    <row r="410" spans="2:7" x14ac:dyDescent="0.25">
      <c r="B410" t="s">
        <v>546</v>
      </c>
      <c r="C410" t="s">
        <v>1212</v>
      </c>
      <c r="D410" t="s">
        <v>1213</v>
      </c>
      <c r="E410">
        <v>20</v>
      </c>
      <c r="F410" t="s">
        <v>1923</v>
      </c>
      <c r="G410" t="s">
        <v>1697</v>
      </c>
    </row>
    <row r="411" spans="2:7" x14ac:dyDescent="0.25">
      <c r="B411" t="s">
        <v>551</v>
      </c>
      <c r="C411" t="s">
        <v>735</v>
      </c>
      <c r="D411" t="s">
        <v>736</v>
      </c>
      <c r="E411">
        <v>-1</v>
      </c>
      <c r="F411" t="s">
        <v>2559</v>
      </c>
      <c r="G411" t="s">
        <v>1632</v>
      </c>
    </row>
    <row r="412" spans="2:7" x14ac:dyDescent="0.25">
      <c r="B412" t="s">
        <v>551</v>
      </c>
      <c r="C412" t="s">
        <v>735</v>
      </c>
      <c r="D412" t="s">
        <v>736</v>
      </c>
      <c r="E412">
        <v>5</v>
      </c>
      <c r="F412" t="s">
        <v>1924</v>
      </c>
      <c r="G412" t="s">
        <v>1694</v>
      </c>
    </row>
    <row r="413" spans="2:7" x14ac:dyDescent="0.25">
      <c r="B413" t="s">
        <v>551</v>
      </c>
      <c r="C413" t="s">
        <v>1216</v>
      </c>
      <c r="D413" t="s">
        <v>1217</v>
      </c>
      <c r="E413">
        <v>-5</v>
      </c>
      <c r="F413" t="s">
        <v>2559</v>
      </c>
      <c r="G413" t="s">
        <v>1786</v>
      </c>
    </row>
    <row r="414" spans="2:7" x14ac:dyDescent="0.25">
      <c r="B414" t="s">
        <v>551</v>
      </c>
      <c r="C414" t="s">
        <v>552</v>
      </c>
      <c r="D414" t="s">
        <v>553</v>
      </c>
      <c r="E414">
        <v>-1000</v>
      </c>
      <c r="F414" t="s">
        <v>2559</v>
      </c>
      <c r="G414" t="s">
        <v>1775</v>
      </c>
    </row>
    <row r="415" spans="2:7" x14ac:dyDescent="0.25">
      <c r="B415" t="s">
        <v>551</v>
      </c>
      <c r="C415" t="s">
        <v>552</v>
      </c>
      <c r="D415" t="s">
        <v>553</v>
      </c>
      <c r="E415">
        <v>-20</v>
      </c>
      <c r="F415" t="s">
        <v>2559</v>
      </c>
      <c r="G415" t="s">
        <v>1660</v>
      </c>
    </row>
    <row r="416" spans="2:7" x14ac:dyDescent="0.25">
      <c r="B416" t="s">
        <v>551</v>
      </c>
      <c r="C416" t="s">
        <v>552</v>
      </c>
      <c r="D416" t="s">
        <v>553</v>
      </c>
      <c r="E416">
        <v>-700</v>
      </c>
      <c r="F416" t="s">
        <v>2559</v>
      </c>
      <c r="G416" t="s">
        <v>1697</v>
      </c>
    </row>
    <row r="417" spans="2:7" x14ac:dyDescent="0.25">
      <c r="B417" t="s">
        <v>551</v>
      </c>
      <c r="C417" t="s">
        <v>1018</v>
      </c>
      <c r="D417" t="s">
        <v>1019</v>
      </c>
      <c r="E417">
        <v>1000</v>
      </c>
      <c r="F417" t="s">
        <v>1925</v>
      </c>
      <c r="G417" t="s">
        <v>1660</v>
      </c>
    </row>
    <row r="418" spans="2:7" x14ac:dyDescent="0.25">
      <c r="B418" t="s">
        <v>551</v>
      </c>
      <c r="C418" t="s">
        <v>1018</v>
      </c>
      <c r="D418" t="s">
        <v>1019</v>
      </c>
      <c r="E418">
        <v>700</v>
      </c>
      <c r="F418" t="s">
        <v>1926</v>
      </c>
      <c r="G418" t="s">
        <v>1697</v>
      </c>
    </row>
    <row r="419" spans="2:7" x14ac:dyDescent="0.25">
      <c r="B419" t="s">
        <v>546</v>
      </c>
      <c r="C419" t="s">
        <v>547</v>
      </c>
      <c r="D419" t="s">
        <v>548</v>
      </c>
      <c r="E419">
        <v>-20</v>
      </c>
      <c r="F419" t="s">
        <v>2559</v>
      </c>
      <c r="G419" t="s">
        <v>1697</v>
      </c>
    </row>
    <row r="420" spans="2:7" x14ac:dyDescent="0.25">
      <c r="B420" t="s">
        <v>80</v>
      </c>
      <c r="C420" t="s">
        <v>1474</v>
      </c>
      <c r="D420" t="s">
        <v>1475</v>
      </c>
      <c r="E420">
        <v>39</v>
      </c>
      <c r="F420" t="s">
        <v>1927</v>
      </c>
      <c r="G420" t="s">
        <v>1614</v>
      </c>
    </row>
    <row r="421" spans="2:7" x14ac:dyDescent="0.25">
      <c r="B421" t="s">
        <v>83</v>
      </c>
      <c r="C421" t="s">
        <v>1270</v>
      </c>
      <c r="D421" t="s">
        <v>1271</v>
      </c>
      <c r="E421">
        <v>48</v>
      </c>
      <c r="F421" t="s">
        <v>1928</v>
      </c>
      <c r="G421" t="s">
        <v>1612</v>
      </c>
    </row>
    <row r="422" spans="2:7" x14ac:dyDescent="0.25">
      <c r="B422" t="s">
        <v>272</v>
      </c>
      <c r="C422" t="s">
        <v>574</v>
      </c>
      <c r="D422" t="s">
        <v>575</v>
      </c>
      <c r="E422">
        <v>-20</v>
      </c>
      <c r="F422" t="s">
        <v>2559</v>
      </c>
      <c r="G422" t="s">
        <v>1756</v>
      </c>
    </row>
    <row r="423" spans="2:7" x14ac:dyDescent="0.25">
      <c r="B423" t="s">
        <v>272</v>
      </c>
      <c r="C423" t="s">
        <v>574</v>
      </c>
      <c r="D423" t="s">
        <v>575</v>
      </c>
      <c r="E423">
        <v>-80</v>
      </c>
      <c r="F423" t="s">
        <v>2559</v>
      </c>
      <c r="G423" t="s">
        <v>1984</v>
      </c>
    </row>
    <row r="424" spans="2:7" x14ac:dyDescent="0.25">
      <c r="B424" t="s">
        <v>272</v>
      </c>
      <c r="C424" t="s">
        <v>574</v>
      </c>
      <c r="D424" t="s">
        <v>575</v>
      </c>
      <c r="E424">
        <v>1360</v>
      </c>
      <c r="F424" t="s">
        <v>1929</v>
      </c>
      <c r="G424" t="s">
        <v>1773</v>
      </c>
    </row>
    <row r="425" spans="2:7" x14ac:dyDescent="0.25">
      <c r="B425" t="s">
        <v>272</v>
      </c>
      <c r="C425" t="s">
        <v>574</v>
      </c>
      <c r="D425" t="s">
        <v>575</v>
      </c>
      <c r="E425">
        <v>-20</v>
      </c>
      <c r="F425" t="s">
        <v>2559</v>
      </c>
      <c r="G425" t="s">
        <v>1614</v>
      </c>
    </row>
    <row r="426" spans="2:7" x14ac:dyDescent="0.25">
      <c r="B426" t="s">
        <v>272</v>
      </c>
      <c r="C426" t="s">
        <v>574</v>
      </c>
      <c r="D426" t="s">
        <v>575</v>
      </c>
      <c r="E426">
        <v>-20</v>
      </c>
      <c r="F426" t="s">
        <v>2559</v>
      </c>
      <c r="G426" t="s">
        <v>1793</v>
      </c>
    </row>
    <row r="427" spans="2:7" x14ac:dyDescent="0.25">
      <c r="B427" t="s">
        <v>272</v>
      </c>
      <c r="C427" t="s">
        <v>1342</v>
      </c>
      <c r="D427" t="s">
        <v>1343</v>
      </c>
      <c r="E427">
        <v>80</v>
      </c>
      <c r="F427" t="s">
        <v>1930</v>
      </c>
      <c r="G427" t="s">
        <v>1629</v>
      </c>
    </row>
    <row r="428" spans="2:7" x14ac:dyDescent="0.25">
      <c r="B428" t="s">
        <v>272</v>
      </c>
      <c r="C428" t="s">
        <v>1342</v>
      </c>
      <c r="D428" t="s">
        <v>1343</v>
      </c>
      <c r="E428">
        <v>500</v>
      </c>
      <c r="F428" t="s">
        <v>1931</v>
      </c>
      <c r="G428" t="s">
        <v>1706</v>
      </c>
    </row>
    <row r="429" spans="2:7" x14ac:dyDescent="0.25">
      <c r="B429" t="s">
        <v>272</v>
      </c>
      <c r="C429" t="s">
        <v>1342</v>
      </c>
      <c r="D429" t="s">
        <v>1343</v>
      </c>
      <c r="E429">
        <v>820</v>
      </c>
      <c r="F429" t="s">
        <v>1931</v>
      </c>
      <c r="G429" t="s">
        <v>1773</v>
      </c>
    </row>
    <row r="430" spans="2:7" x14ac:dyDescent="0.25">
      <c r="B430" t="s">
        <v>272</v>
      </c>
      <c r="C430" t="s">
        <v>273</v>
      </c>
      <c r="D430" t="s">
        <v>274</v>
      </c>
      <c r="E430">
        <v>100</v>
      </c>
      <c r="F430" t="s">
        <v>1932</v>
      </c>
      <c r="G430" t="s">
        <v>1706</v>
      </c>
    </row>
    <row r="431" spans="2:7" x14ac:dyDescent="0.25">
      <c r="B431" t="s">
        <v>272</v>
      </c>
      <c r="C431" t="s">
        <v>273</v>
      </c>
      <c r="D431" t="s">
        <v>274</v>
      </c>
      <c r="E431">
        <v>200</v>
      </c>
      <c r="F431" t="s">
        <v>1932</v>
      </c>
      <c r="G431" t="s">
        <v>1773</v>
      </c>
    </row>
    <row r="432" spans="2:7" x14ac:dyDescent="0.25">
      <c r="B432" t="s">
        <v>272</v>
      </c>
      <c r="C432" t="s">
        <v>273</v>
      </c>
      <c r="D432" t="s">
        <v>274</v>
      </c>
      <c r="E432">
        <v>-1</v>
      </c>
      <c r="F432" t="s">
        <v>2559</v>
      </c>
      <c r="G432" t="s">
        <v>1614</v>
      </c>
    </row>
    <row r="433" spans="2:7" x14ac:dyDescent="0.25">
      <c r="B433" t="s">
        <v>380</v>
      </c>
      <c r="C433" t="s">
        <v>381</v>
      </c>
      <c r="D433" t="s">
        <v>382</v>
      </c>
      <c r="E433">
        <v>-40</v>
      </c>
      <c r="F433" t="s">
        <v>2559</v>
      </c>
      <c r="G433" t="s">
        <v>1651</v>
      </c>
    </row>
    <row r="434" spans="2:7" x14ac:dyDescent="0.25">
      <c r="B434" t="s">
        <v>120</v>
      </c>
      <c r="C434" t="s">
        <v>540</v>
      </c>
      <c r="D434" t="s">
        <v>541</v>
      </c>
      <c r="E434">
        <v>12060</v>
      </c>
      <c r="F434" t="s">
        <v>1933</v>
      </c>
      <c r="G434" t="s">
        <v>1756</v>
      </c>
    </row>
    <row r="435" spans="2:7" x14ac:dyDescent="0.25">
      <c r="B435" t="s">
        <v>120</v>
      </c>
      <c r="C435" t="s">
        <v>540</v>
      </c>
      <c r="D435" t="s">
        <v>541</v>
      </c>
      <c r="E435">
        <v>3860</v>
      </c>
      <c r="F435" t="s">
        <v>1934</v>
      </c>
      <c r="G435" t="s">
        <v>1610</v>
      </c>
    </row>
    <row r="436" spans="2:7" x14ac:dyDescent="0.25">
      <c r="B436" t="s">
        <v>120</v>
      </c>
      <c r="C436" t="s">
        <v>540</v>
      </c>
      <c r="D436" t="s">
        <v>541</v>
      </c>
      <c r="E436">
        <v>-20</v>
      </c>
      <c r="F436" t="s">
        <v>2559</v>
      </c>
      <c r="G436" t="s">
        <v>1631</v>
      </c>
    </row>
    <row r="437" spans="2:7" x14ac:dyDescent="0.25">
      <c r="B437" t="s">
        <v>120</v>
      </c>
      <c r="C437" t="s">
        <v>540</v>
      </c>
      <c r="D437" t="s">
        <v>541</v>
      </c>
      <c r="E437">
        <v>-500</v>
      </c>
      <c r="F437" t="s">
        <v>2559</v>
      </c>
      <c r="G437" t="s">
        <v>1634</v>
      </c>
    </row>
    <row r="438" spans="2:7" x14ac:dyDescent="0.25">
      <c r="B438" t="s">
        <v>120</v>
      </c>
      <c r="C438" t="s">
        <v>540</v>
      </c>
      <c r="D438" t="s">
        <v>541</v>
      </c>
      <c r="E438">
        <v>-180</v>
      </c>
      <c r="F438" t="s">
        <v>2559</v>
      </c>
      <c r="G438" t="s">
        <v>1731</v>
      </c>
    </row>
    <row r="439" spans="2:7" x14ac:dyDescent="0.25">
      <c r="B439" t="s">
        <v>120</v>
      </c>
      <c r="C439" t="s">
        <v>540</v>
      </c>
      <c r="D439" t="s">
        <v>541</v>
      </c>
      <c r="E439">
        <v>-20</v>
      </c>
      <c r="F439" t="s">
        <v>2559</v>
      </c>
      <c r="G439" t="s">
        <v>1606</v>
      </c>
    </row>
    <row r="440" spans="2:7" x14ac:dyDescent="0.25">
      <c r="B440" t="s">
        <v>120</v>
      </c>
      <c r="C440" t="s">
        <v>540</v>
      </c>
      <c r="D440" t="s">
        <v>541</v>
      </c>
      <c r="E440">
        <v>9360</v>
      </c>
      <c r="F440" t="s">
        <v>1935</v>
      </c>
      <c r="G440" t="s">
        <v>1815</v>
      </c>
    </row>
    <row r="441" spans="2:7" x14ac:dyDescent="0.25">
      <c r="B441" t="s">
        <v>120</v>
      </c>
      <c r="C441" t="s">
        <v>540</v>
      </c>
      <c r="D441" t="s">
        <v>541</v>
      </c>
      <c r="E441">
        <v>-80</v>
      </c>
      <c r="F441" t="s">
        <v>2559</v>
      </c>
      <c r="G441" t="s">
        <v>1654</v>
      </c>
    </row>
    <row r="442" spans="2:7" x14ac:dyDescent="0.25">
      <c r="B442" t="s">
        <v>120</v>
      </c>
      <c r="C442" t="s">
        <v>540</v>
      </c>
      <c r="D442" t="s">
        <v>541</v>
      </c>
      <c r="E442">
        <v>-2000</v>
      </c>
      <c r="F442" t="s">
        <v>2559</v>
      </c>
      <c r="G442" t="s">
        <v>1622</v>
      </c>
    </row>
    <row r="443" spans="2:7" x14ac:dyDescent="0.25">
      <c r="B443" t="s">
        <v>120</v>
      </c>
      <c r="C443" t="s">
        <v>540</v>
      </c>
      <c r="D443" t="s">
        <v>541</v>
      </c>
      <c r="E443">
        <v>-80</v>
      </c>
      <c r="F443" t="s">
        <v>2559</v>
      </c>
      <c r="G443" t="s">
        <v>1622</v>
      </c>
    </row>
    <row r="444" spans="2:7" x14ac:dyDescent="0.25">
      <c r="B444" t="s">
        <v>120</v>
      </c>
      <c r="C444" t="s">
        <v>540</v>
      </c>
      <c r="D444" t="s">
        <v>541</v>
      </c>
      <c r="E444">
        <v>4180</v>
      </c>
      <c r="F444" t="s">
        <v>1936</v>
      </c>
      <c r="G444" t="s">
        <v>1624</v>
      </c>
    </row>
    <row r="445" spans="2:7" x14ac:dyDescent="0.25">
      <c r="B445" t="s">
        <v>120</v>
      </c>
      <c r="C445" t="s">
        <v>1014</v>
      </c>
      <c r="D445" t="s">
        <v>1015</v>
      </c>
      <c r="E445">
        <v>12</v>
      </c>
      <c r="F445" t="s">
        <v>1937</v>
      </c>
      <c r="G445" t="s">
        <v>1631</v>
      </c>
    </row>
    <row r="446" spans="2:7" x14ac:dyDescent="0.25">
      <c r="B446" t="s">
        <v>120</v>
      </c>
      <c r="C446" t="s">
        <v>1014</v>
      </c>
      <c r="D446" t="s">
        <v>1015</v>
      </c>
      <c r="E446">
        <v>7</v>
      </c>
      <c r="F446" t="s">
        <v>1937</v>
      </c>
      <c r="G446" t="s">
        <v>1632</v>
      </c>
    </row>
    <row r="447" spans="2:7" x14ac:dyDescent="0.25">
      <c r="B447" t="s">
        <v>120</v>
      </c>
      <c r="C447" t="s">
        <v>1014</v>
      </c>
      <c r="D447" t="s">
        <v>1015</v>
      </c>
      <c r="E447">
        <v>20</v>
      </c>
      <c r="F447" t="s">
        <v>1938</v>
      </c>
      <c r="G447" t="s">
        <v>1640</v>
      </c>
    </row>
    <row r="448" spans="2:7" x14ac:dyDescent="0.25">
      <c r="B448" t="s">
        <v>120</v>
      </c>
      <c r="C448" t="s">
        <v>1014</v>
      </c>
      <c r="D448" t="s">
        <v>1015</v>
      </c>
      <c r="E448">
        <v>26</v>
      </c>
      <c r="F448" t="s">
        <v>1938</v>
      </c>
      <c r="G448" t="s">
        <v>1640</v>
      </c>
    </row>
    <row r="449" spans="2:7" x14ac:dyDescent="0.25">
      <c r="B449" t="s">
        <v>120</v>
      </c>
      <c r="C449" t="s">
        <v>1014</v>
      </c>
      <c r="D449" t="s">
        <v>1015</v>
      </c>
      <c r="E449">
        <v>660</v>
      </c>
      <c r="F449" t="s">
        <v>1939</v>
      </c>
      <c r="G449" t="s">
        <v>1663</v>
      </c>
    </row>
    <row r="450" spans="2:7" x14ac:dyDescent="0.25">
      <c r="B450" t="s">
        <v>120</v>
      </c>
      <c r="C450" t="s">
        <v>1014</v>
      </c>
      <c r="D450" t="s">
        <v>1015</v>
      </c>
      <c r="E450">
        <v>648</v>
      </c>
      <c r="F450" t="s">
        <v>1940</v>
      </c>
      <c r="G450" t="s">
        <v>1616</v>
      </c>
    </row>
    <row r="451" spans="2:7" x14ac:dyDescent="0.25">
      <c r="B451" t="s">
        <v>120</v>
      </c>
      <c r="C451" t="s">
        <v>1014</v>
      </c>
      <c r="D451" t="s">
        <v>1015</v>
      </c>
      <c r="E451">
        <v>19</v>
      </c>
      <c r="F451" t="s">
        <v>1941</v>
      </c>
      <c r="G451" t="s">
        <v>1651</v>
      </c>
    </row>
    <row r="452" spans="2:7" x14ac:dyDescent="0.25">
      <c r="B452" t="s">
        <v>120</v>
      </c>
      <c r="C452" t="s">
        <v>1014</v>
      </c>
      <c r="D452" t="s">
        <v>1015</v>
      </c>
      <c r="E452">
        <v>48</v>
      </c>
      <c r="F452" t="s">
        <v>1942</v>
      </c>
      <c r="G452" t="s">
        <v>1840</v>
      </c>
    </row>
    <row r="453" spans="2:7" x14ac:dyDescent="0.25">
      <c r="B453" t="s">
        <v>120</v>
      </c>
      <c r="C453" t="s">
        <v>834</v>
      </c>
      <c r="D453" t="s">
        <v>835</v>
      </c>
      <c r="E453">
        <v>4575</v>
      </c>
      <c r="F453" t="s">
        <v>1947</v>
      </c>
      <c r="G453" t="s">
        <v>1624</v>
      </c>
    </row>
    <row r="454" spans="2:7" x14ac:dyDescent="0.25">
      <c r="B454" t="s">
        <v>120</v>
      </c>
      <c r="C454" t="s">
        <v>834</v>
      </c>
      <c r="D454" t="s">
        <v>835</v>
      </c>
      <c r="E454">
        <v>180</v>
      </c>
      <c r="F454" t="s">
        <v>1943</v>
      </c>
      <c r="G454" t="s">
        <v>1616</v>
      </c>
    </row>
    <row r="455" spans="2:7" x14ac:dyDescent="0.25">
      <c r="B455" t="s">
        <v>120</v>
      </c>
      <c r="C455" t="s">
        <v>834</v>
      </c>
      <c r="D455" t="s">
        <v>835</v>
      </c>
      <c r="E455">
        <v>-5</v>
      </c>
      <c r="F455" t="s">
        <v>2559</v>
      </c>
      <c r="G455" t="s">
        <v>1793</v>
      </c>
    </row>
    <row r="456" spans="2:7" x14ac:dyDescent="0.25">
      <c r="B456" t="s">
        <v>120</v>
      </c>
      <c r="C456" t="s">
        <v>834</v>
      </c>
      <c r="D456" t="s">
        <v>835</v>
      </c>
      <c r="E456">
        <v>80</v>
      </c>
      <c r="F456" t="s">
        <v>1944</v>
      </c>
      <c r="G456" t="s">
        <v>1654</v>
      </c>
    </row>
    <row r="457" spans="2:7" x14ac:dyDescent="0.25">
      <c r="B457" t="s">
        <v>120</v>
      </c>
      <c r="C457" t="s">
        <v>834</v>
      </c>
      <c r="D457" t="s">
        <v>835</v>
      </c>
      <c r="E457">
        <v>1300</v>
      </c>
      <c r="F457" t="s">
        <v>1946</v>
      </c>
      <c r="G457" t="s">
        <v>1672</v>
      </c>
    </row>
    <row r="458" spans="2:7" x14ac:dyDescent="0.25">
      <c r="B458" t="s">
        <v>120</v>
      </c>
      <c r="C458" t="s">
        <v>834</v>
      </c>
      <c r="D458" t="s">
        <v>835</v>
      </c>
      <c r="E458">
        <v>675</v>
      </c>
      <c r="F458" t="s">
        <v>1946</v>
      </c>
      <c r="G458" t="s">
        <v>1610</v>
      </c>
    </row>
    <row r="459" spans="2:7" x14ac:dyDescent="0.25">
      <c r="B459" t="s">
        <v>120</v>
      </c>
      <c r="C459" t="s">
        <v>834</v>
      </c>
      <c r="D459" t="s">
        <v>835</v>
      </c>
      <c r="E459">
        <v>2025</v>
      </c>
      <c r="F459" t="s">
        <v>1945</v>
      </c>
      <c r="G459" t="s">
        <v>1622</v>
      </c>
    </row>
    <row r="460" spans="2:7" x14ac:dyDescent="0.25">
      <c r="B460" t="s">
        <v>120</v>
      </c>
      <c r="C460" t="s">
        <v>834</v>
      </c>
      <c r="D460" t="s">
        <v>835</v>
      </c>
      <c r="E460">
        <v>5</v>
      </c>
      <c r="F460" t="s">
        <v>1947</v>
      </c>
      <c r="G460" t="s">
        <v>1663</v>
      </c>
    </row>
    <row r="461" spans="2:7" x14ac:dyDescent="0.25">
      <c r="B461" t="s">
        <v>120</v>
      </c>
      <c r="C461" t="s">
        <v>901</v>
      </c>
      <c r="D461" t="s">
        <v>902</v>
      </c>
      <c r="E461">
        <v>-50</v>
      </c>
      <c r="F461" t="s">
        <v>2559</v>
      </c>
      <c r="G461" t="s">
        <v>1789</v>
      </c>
    </row>
    <row r="462" spans="2:7" x14ac:dyDescent="0.25">
      <c r="B462" t="s">
        <v>120</v>
      </c>
      <c r="C462" t="s">
        <v>901</v>
      </c>
      <c r="D462" t="s">
        <v>902</v>
      </c>
      <c r="E462">
        <v>500</v>
      </c>
      <c r="F462" t="s">
        <v>1948</v>
      </c>
      <c r="G462" t="s">
        <v>1634</v>
      </c>
    </row>
    <row r="463" spans="2:7" x14ac:dyDescent="0.25">
      <c r="B463" t="s">
        <v>120</v>
      </c>
      <c r="C463" t="s">
        <v>901</v>
      </c>
      <c r="D463" t="s">
        <v>902</v>
      </c>
      <c r="E463">
        <v>-50</v>
      </c>
      <c r="F463" t="s">
        <v>2559</v>
      </c>
      <c r="G463" t="s">
        <v>2110</v>
      </c>
    </row>
    <row r="464" spans="2:7" x14ac:dyDescent="0.25">
      <c r="B464" t="s">
        <v>148</v>
      </c>
      <c r="C464" t="s">
        <v>1346</v>
      </c>
      <c r="D464" t="s">
        <v>1347</v>
      </c>
      <c r="E464">
        <v>660</v>
      </c>
      <c r="F464" t="s">
        <v>1949</v>
      </c>
      <c r="G464" t="s">
        <v>1672</v>
      </c>
    </row>
    <row r="465" spans="2:7" x14ac:dyDescent="0.25">
      <c r="B465" t="s">
        <v>148</v>
      </c>
      <c r="C465" t="s">
        <v>1346</v>
      </c>
      <c r="D465" t="s">
        <v>1347</v>
      </c>
      <c r="E465">
        <v>-5</v>
      </c>
      <c r="F465" t="s">
        <v>2559</v>
      </c>
      <c r="G465" t="s">
        <v>1775</v>
      </c>
    </row>
    <row r="466" spans="2:7" x14ac:dyDescent="0.25">
      <c r="B466" t="s">
        <v>148</v>
      </c>
      <c r="C466" t="s">
        <v>544</v>
      </c>
      <c r="D466" t="s">
        <v>545</v>
      </c>
      <c r="E466">
        <v>4300</v>
      </c>
      <c r="F466" t="s">
        <v>1950</v>
      </c>
      <c r="G466" t="s">
        <v>1672</v>
      </c>
    </row>
    <row r="467" spans="2:7" x14ac:dyDescent="0.25">
      <c r="B467" t="s">
        <v>120</v>
      </c>
      <c r="C467" t="s">
        <v>180</v>
      </c>
      <c r="D467" t="s">
        <v>181</v>
      </c>
      <c r="E467">
        <v>840</v>
      </c>
      <c r="F467" t="s">
        <v>1951</v>
      </c>
      <c r="G467" t="s">
        <v>1815</v>
      </c>
    </row>
    <row r="468" spans="2:7" x14ac:dyDescent="0.25">
      <c r="B468" t="s">
        <v>120</v>
      </c>
      <c r="C468" t="s">
        <v>180</v>
      </c>
      <c r="D468" t="s">
        <v>181</v>
      </c>
      <c r="E468">
        <v>760</v>
      </c>
      <c r="F468" t="s">
        <v>1952</v>
      </c>
      <c r="G468" t="s">
        <v>1663</v>
      </c>
    </row>
    <row r="469" spans="2:7" x14ac:dyDescent="0.25">
      <c r="B469" t="s">
        <v>120</v>
      </c>
      <c r="C469" t="s">
        <v>123</v>
      </c>
      <c r="D469" t="s">
        <v>124</v>
      </c>
      <c r="E469">
        <v>10460</v>
      </c>
      <c r="F469" t="s">
        <v>1953</v>
      </c>
      <c r="G469" t="s">
        <v>1610</v>
      </c>
    </row>
    <row r="470" spans="2:7" x14ac:dyDescent="0.25">
      <c r="B470" t="s">
        <v>120</v>
      </c>
      <c r="C470" t="s">
        <v>123</v>
      </c>
      <c r="D470" t="s">
        <v>124</v>
      </c>
      <c r="E470">
        <v>4160</v>
      </c>
      <c r="F470" t="s">
        <v>1954</v>
      </c>
      <c r="G470" t="s">
        <v>1775</v>
      </c>
    </row>
    <row r="471" spans="2:7" x14ac:dyDescent="0.25">
      <c r="B471" t="s">
        <v>120</v>
      </c>
      <c r="C471" t="s">
        <v>123</v>
      </c>
      <c r="D471" t="s">
        <v>124</v>
      </c>
      <c r="E471">
        <v>-660</v>
      </c>
      <c r="F471" t="s">
        <v>2559</v>
      </c>
      <c r="G471" t="s">
        <v>1786</v>
      </c>
    </row>
    <row r="472" spans="2:7" x14ac:dyDescent="0.25">
      <c r="B472" t="s">
        <v>17</v>
      </c>
      <c r="C472" t="s">
        <v>396</v>
      </c>
      <c r="D472" t="s">
        <v>397</v>
      </c>
      <c r="E472">
        <v>10200</v>
      </c>
      <c r="F472" t="s">
        <v>1955</v>
      </c>
      <c r="G472" t="s">
        <v>1956</v>
      </c>
    </row>
    <row r="473" spans="2:7" x14ac:dyDescent="0.25">
      <c r="B473" t="s">
        <v>17</v>
      </c>
      <c r="C473" t="s">
        <v>396</v>
      </c>
      <c r="D473" t="s">
        <v>397</v>
      </c>
      <c r="E473">
        <v>10420</v>
      </c>
      <c r="F473" t="s">
        <v>1957</v>
      </c>
      <c r="G473" t="s">
        <v>1956</v>
      </c>
    </row>
    <row r="474" spans="2:7" x14ac:dyDescent="0.25">
      <c r="B474" t="s">
        <v>1433</v>
      </c>
      <c r="C474" t="s">
        <v>1434</v>
      </c>
      <c r="D474" t="s">
        <v>1435</v>
      </c>
      <c r="E474">
        <v>-680</v>
      </c>
      <c r="F474" t="s">
        <v>2559</v>
      </c>
      <c r="G474" t="s">
        <v>1731</v>
      </c>
    </row>
    <row r="475" spans="2:7" x14ac:dyDescent="0.25">
      <c r="B475" t="s">
        <v>585</v>
      </c>
      <c r="C475" t="s">
        <v>594</v>
      </c>
      <c r="D475" t="s">
        <v>595</v>
      </c>
      <c r="E475">
        <v>58</v>
      </c>
      <c r="F475" t="s">
        <v>1958</v>
      </c>
      <c r="G475" t="s">
        <v>1612</v>
      </c>
    </row>
    <row r="476" spans="2:7" x14ac:dyDescent="0.25">
      <c r="B476" t="s">
        <v>585</v>
      </c>
      <c r="C476" t="s">
        <v>594</v>
      </c>
      <c r="D476" t="s">
        <v>595</v>
      </c>
      <c r="E476">
        <v>20</v>
      </c>
      <c r="F476" t="s">
        <v>1959</v>
      </c>
      <c r="G476" t="s">
        <v>1691</v>
      </c>
    </row>
    <row r="477" spans="2:7" x14ac:dyDescent="0.25">
      <c r="B477" t="s">
        <v>585</v>
      </c>
      <c r="C477" t="s">
        <v>726</v>
      </c>
      <c r="D477" t="s">
        <v>727</v>
      </c>
      <c r="E477">
        <v>200</v>
      </c>
      <c r="F477" t="s">
        <v>1960</v>
      </c>
      <c r="G477" t="s">
        <v>1751</v>
      </c>
    </row>
    <row r="478" spans="2:7" x14ac:dyDescent="0.25">
      <c r="B478" t="s">
        <v>585</v>
      </c>
      <c r="C478" t="s">
        <v>586</v>
      </c>
      <c r="D478" t="s">
        <v>587</v>
      </c>
      <c r="E478">
        <v>4880</v>
      </c>
      <c r="F478" t="s">
        <v>1961</v>
      </c>
      <c r="G478" t="s">
        <v>1751</v>
      </c>
    </row>
    <row r="479" spans="2:7" x14ac:dyDescent="0.25">
      <c r="B479" t="s">
        <v>585</v>
      </c>
      <c r="C479" t="s">
        <v>586</v>
      </c>
      <c r="D479" t="s">
        <v>587</v>
      </c>
      <c r="E479">
        <v>-60</v>
      </c>
      <c r="F479" t="s">
        <v>2559</v>
      </c>
      <c r="G479" t="s">
        <v>1681</v>
      </c>
    </row>
    <row r="480" spans="2:7" x14ac:dyDescent="0.25">
      <c r="B480" t="s">
        <v>585</v>
      </c>
      <c r="C480" t="s">
        <v>586</v>
      </c>
      <c r="D480" t="s">
        <v>587</v>
      </c>
      <c r="E480">
        <v>-20</v>
      </c>
      <c r="F480" t="s">
        <v>2559</v>
      </c>
      <c r="G480" t="s">
        <v>1691</v>
      </c>
    </row>
    <row r="481" spans="2:7" x14ac:dyDescent="0.25">
      <c r="B481" t="s">
        <v>175</v>
      </c>
      <c r="C481" t="s">
        <v>1519</v>
      </c>
      <c r="D481" t="s">
        <v>1520</v>
      </c>
      <c r="E481">
        <v>4</v>
      </c>
      <c r="F481" t="s">
        <v>1962</v>
      </c>
      <c r="G481" t="s">
        <v>1631</v>
      </c>
    </row>
    <row r="482" spans="2:7" x14ac:dyDescent="0.25">
      <c r="B482" t="s">
        <v>175</v>
      </c>
      <c r="C482" t="s">
        <v>1519</v>
      </c>
      <c r="D482" t="s">
        <v>1520</v>
      </c>
      <c r="E482">
        <v>-1</v>
      </c>
      <c r="F482" t="s">
        <v>2559</v>
      </c>
      <c r="G482" t="s">
        <v>1632</v>
      </c>
    </row>
    <row r="483" spans="2:7" x14ac:dyDescent="0.25">
      <c r="B483" t="s">
        <v>31</v>
      </c>
      <c r="C483" t="s">
        <v>580</v>
      </c>
      <c r="D483" t="s">
        <v>581</v>
      </c>
      <c r="E483">
        <v>4996</v>
      </c>
      <c r="F483" t="s">
        <v>1963</v>
      </c>
      <c r="G483" t="s">
        <v>1870</v>
      </c>
    </row>
    <row r="484" spans="2:7" x14ac:dyDescent="0.25">
      <c r="B484" t="s">
        <v>31</v>
      </c>
      <c r="C484" t="s">
        <v>580</v>
      </c>
      <c r="D484" t="s">
        <v>581</v>
      </c>
      <c r="E484">
        <v>4244</v>
      </c>
      <c r="F484" t="s">
        <v>1964</v>
      </c>
      <c r="G484" t="s">
        <v>1640</v>
      </c>
    </row>
    <row r="485" spans="2:7" x14ac:dyDescent="0.25">
      <c r="B485" t="s">
        <v>411</v>
      </c>
      <c r="C485" t="s">
        <v>412</v>
      </c>
      <c r="D485" t="s">
        <v>413</v>
      </c>
      <c r="E485">
        <v>14000</v>
      </c>
      <c r="F485" t="s">
        <v>1965</v>
      </c>
      <c r="G485" t="s">
        <v>1658</v>
      </c>
    </row>
    <row r="486" spans="2:7" x14ac:dyDescent="0.25">
      <c r="B486" t="s">
        <v>164</v>
      </c>
      <c r="C486" t="s">
        <v>590</v>
      </c>
      <c r="D486" t="s">
        <v>591</v>
      </c>
      <c r="E486">
        <v>198</v>
      </c>
      <c r="F486" t="s">
        <v>1966</v>
      </c>
      <c r="G486" t="s">
        <v>1605</v>
      </c>
    </row>
    <row r="487" spans="2:7" x14ac:dyDescent="0.25">
      <c r="B487" t="s">
        <v>20</v>
      </c>
      <c r="C487" t="s">
        <v>431</v>
      </c>
      <c r="D487" t="s">
        <v>432</v>
      </c>
      <c r="E487">
        <v>5180</v>
      </c>
      <c r="F487" t="s">
        <v>1967</v>
      </c>
      <c r="G487" t="s">
        <v>1956</v>
      </c>
    </row>
    <row r="488" spans="2:7" x14ac:dyDescent="0.25">
      <c r="B488" t="s">
        <v>164</v>
      </c>
      <c r="C488" t="s">
        <v>1565</v>
      </c>
      <c r="D488" t="s">
        <v>1566</v>
      </c>
      <c r="E488">
        <v>2105</v>
      </c>
      <c r="F488" t="s">
        <v>1968</v>
      </c>
      <c r="G488" t="s">
        <v>1739</v>
      </c>
    </row>
    <row r="489" spans="2:7" x14ac:dyDescent="0.25">
      <c r="B489" t="s">
        <v>120</v>
      </c>
      <c r="C489" t="s">
        <v>1561</v>
      </c>
      <c r="D489" t="s">
        <v>1562</v>
      </c>
      <c r="E489">
        <v>60</v>
      </c>
      <c r="F489" t="s">
        <v>1969</v>
      </c>
      <c r="G489" t="s">
        <v>1663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21"/>
  <sheetViews>
    <sheetView workbookViewId="0">
      <selection activeCell="E5" sqref="E5"/>
    </sheetView>
  </sheetViews>
  <sheetFormatPr defaultRowHeight="15" x14ac:dyDescent="0.25"/>
  <cols>
    <col min="2" max="2" width="7.42578125" bestFit="1" customWidth="1"/>
    <col min="3" max="3" width="16.7109375" bestFit="1" customWidth="1"/>
    <col min="4" max="4" width="14.5703125" bestFit="1" customWidth="1"/>
    <col min="5" max="5" width="32.42578125" bestFit="1" customWidth="1"/>
    <col min="6" max="6" width="10.5703125" bestFit="1" customWidth="1"/>
    <col min="7" max="7" width="10" bestFit="1" customWidth="1"/>
    <col min="8" max="8" width="11.42578125" bestFit="1" customWidth="1"/>
    <col min="9" max="9" width="5.7109375" bestFit="1" customWidth="1"/>
  </cols>
  <sheetData>
    <row r="2" spans="2:9" x14ac:dyDescent="0.25">
      <c r="B2" t="s">
        <v>1974</v>
      </c>
      <c r="C2" t="s">
        <v>4</v>
      </c>
      <c r="D2" t="s">
        <v>5</v>
      </c>
      <c r="E2" t="s">
        <v>6</v>
      </c>
      <c r="F2" t="s">
        <v>1975</v>
      </c>
      <c r="G2" t="s">
        <v>1976</v>
      </c>
      <c r="H2" t="s">
        <v>1977</v>
      </c>
      <c r="I2" t="s">
        <v>1978</v>
      </c>
    </row>
    <row r="3" spans="2:9" x14ac:dyDescent="0.25">
      <c r="B3" t="s">
        <v>1979</v>
      </c>
      <c r="C3" t="s">
        <v>58</v>
      </c>
      <c r="D3" t="s">
        <v>759</v>
      </c>
      <c r="E3" t="s">
        <v>760</v>
      </c>
      <c r="F3">
        <v>60</v>
      </c>
      <c r="G3" t="s">
        <v>1980</v>
      </c>
      <c r="H3" t="s">
        <v>1606</v>
      </c>
      <c r="I3" t="s">
        <v>1971</v>
      </c>
    </row>
    <row r="4" spans="2:9" x14ac:dyDescent="0.25">
      <c r="B4" t="s">
        <v>1979</v>
      </c>
      <c r="C4" t="s">
        <v>195</v>
      </c>
      <c r="D4" t="s">
        <v>1167</v>
      </c>
      <c r="E4" t="s">
        <v>1168</v>
      </c>
      <c r="F4">
        <v>2000</v>
      </c>
      <c r="G4" t="s">
        <v>1981</v>
      </c>
      <c r="H4" t="s">
        <v>1627</v>
      </c>
      <c r="I4" t="s">
        <v>1971</v>
      </c>
    </row>
    <row r="5" spans="2:9" x14ac:dyDescent="0.25">
      <c r="B5" t="s">
        <v>1979</v>
      </c>
      <c r="C5" t="s">
        <v>195</v>
      </c>
      <c r="D5" t="s">
        <v>1167</v>
      </c>
      <c r="E5" t="s">
        <v>1168</v>
      </c>
      <c r="F5">
        <v>2000</v>
      </c>
      <c r="G5" t="s">
        <v>1982</v>
      </c>
      <c r="H5" t="s">
        <v>1627</v>
      </c>
      <c r="I5" t="s">
        <v>1971</v>
      </c>
    </row>
    <row r="6" spans="2:9" x14ac:dyDescent="0.25">
      <c r="B6" t="s">
        <v>1979</v>
      </c>
      <c r="C6" t="s">
        <v>195</v>
      </c>
      <c r="D6" t="s">
        <v>1167</v>
      </c>
      <c r="E6" t="s">
        <v>1168</v>
      </c>
      <c r="F6">
        <v>300</v>
      </c>
      <c r="G6" t="s">
        <v>1983</v>
      </c>
      <c r="H6" t="s">
        <v>1984</v>
      </c>
      <c r="I6" t="s">
        <v>1971</v>
      </c>
    </row>
    <row r="7" spans="2:9" x14ac:dyDescent="0.25">
      <c r="B7" t="s">
        <v>1979</v>
      </c>
      <c r="C7" t="s">
        <v>195</v>
      </c>
      <c r="D7" t="s">
        <v>1167</v>
      </c>
      <c r="E7" t="s">
        <v>1168</v>
      </c>
      <c r="F7">
        <v>60</v>
      </c>
      <c r="G7" t="s">
        <v>1985</v>
      </c>
      <c r="H7" t="s">
        <v>1775</v>
      </c>
      <c r="I7" t="s">
        <v>1971</v>
      </c>
    </row>
    <row r="8" spans="2:9" x14ac:dyDescent="0.25">
      <c r="B8" t="s">
        <v>1979</v>
      </c>
      <c r="C8" t="s">
        <v>195</v>
      </c>
      <c r="D8" t="s">
        <v>1167</v>
      </c>
      <c r="E8" t="s">
        <v>1168</v>
      </c>
      <c r="F8">
        <v>700</v>
      </c>
      <c r="G8" t="s">
        <v>1986</v>
      </c>
      <c r="H8" t="s">
        <v>1789</v>
      </c>
      <c r="I8" t="s">
        <v>1971</v>
      </c>
    </row>
    <row r="9" spans="2:9" x14ac:dyDescent="0.25">
      <c r="B9" t="s">
        <v>1979</v>
      </c>
      <c r="C9" t="s">
        <v>195</v>
      </c>
      <c r="D9" t="s">
        <v>1167</v>
      </c>
      <c r="E9" t="s">
        <v>1168</v>
      </c>
      <c r="F9">
        <v>240</v>
      </c>
      <c r="G9" t="s">
        <v>1987</v>
      </c>
      <c r="H9" t="s">
        <v>1826</v>
      </c>
      <c r="I9" t="s">
        <v>1971</v>
      </c>
    </row>
    <row r="10" spans="2:9" x14ac:dyDescent="0.25">
      <c r="B10" t="s">
        <v>1979</v>
      </c>
      <c r="C10" t="s">
        <v>195</v>
      </c>
      <c r="D10" t="s">
        <v>1167</v>
      </c>
      <c r="E10" t="s">
        <v>1168</v>
      </c>
      <c r="F10">
        <v>20</v>
      </c>
      <c r="G10" t="s">
        <v>1988</v>
      </c>
      <c r="H10" t="s">
        <v>1806</v>
      </c>
      <c r="I10" t="s">
        <v>1971</v>
      </c>
    </row>
    <row r="11" spans="2:9" x14ac:dyDescent="0.25">
      <c r="B11" t="s">
        <v>1979</v>
      </c>
      <c r="C11" t="s">
        <v>195</v>
      </c>
      <c r="D11" t="s">
        <v>1167</v>
      </c>
      <c r="E11" t="s">
        <v>1168</v>
      </c>
      <c r="F11">
        <v>1380</v>
      </c>
      <c r="G11" t="s">
        <v>1989</v>
      </c>
      <c r="H11" t="s">
        <v>1806</v>
      </c>
      <c r="I11" t="s">
        <v>1971</v>
      </c>
    </row>
    <row r="12" spans="2:9" x14ac:dyDescent="0.25">
      <c r="B12" t="s">
        <v>1979</v>
      </c>
      <c r="C12" t="s">
        <v>195</v>
      </c>
      <c r="D12" t="s">
        <v>1167</v>
      </c>
      <c r="E12" t="s">
        <v>1168</v>
      </c>
      <c r="F12">
        <v>620</v>
      </c>
      <c r="G12" t="s">
        <v>1987</v>
      </c>
      <c r="H12" t="s">
        <v>1826</v>
      </c>
      <c r="I12" t="s">
        <v>1971</v>
      </c>
    </row>
    <row r="13" spans="2:9" x14ac:dyDescent="0.25">
      <c r="B13" t="s">
        <v>1979</v>
      </c>
      <c r="C13" t="s">
        <v>195</v>
      </c>
      <c r="D13" t="s">
        <v>1167</v>
      </c>
      <c r="E13" t="s">
        <v>1168</v>
      </c>
      <c r="F13">
        <v>140</v>
      </c>
      <c r="G13" t="s">
        <v>1987</v>
      </c>
      <c r="H13" t="s">
        <v>1826</v>
      </c>
      <c r="I13" t="s">
        <v>1971</v>
      </c>
    </row>
    <row r="14" spans="2:9" x14ac:dyDescent="0.25">
      <c r="B14" t="s">
        <v>1979</v>
      </c>
      <c r="C14" t="s">
        <v>195</v>
      </c>
      <c r="D14" t="s">
        <v>1167</v>
      </c>
      <c r="E14" t="s">
        <v>1168</v>
      </c>
      <c r="F14">
        <v>4000</v>
      </c>
      <c r="G14" t="s">
        <v>1987</v>
      </c>
      <c r="H14" t="s">
        <v>1826</v>
      </c>
      <c r="I14" t="s">
        <v>1971</v>
      </c>
    </row>
    <row r="15" spans="2:9" x14ac:dyDescent="0.25">
      <c r="B15" t="s">
        <v>1979</v>
      </c>
      <c r="C15" t="s">
        <v>195</v>
      </c>
      <c r="D15" t="s">
        <v>1167</v>
      </c>
      <c r="E15" t="s">
        <v>1168</v>
      </c>
      <c r="F15">
        <v>20</v>
      </c>
      <c r="G15" t="s">
        <v>1990</v>
      </c>
      <c r="H15" t="s">
        <v>1614</v>
      </c>
      <c r="I15" t="s">
        <v>1971</v>
      </c>
    </row>
    <row r="16" spans="2:9" x14ac:dyDescent="0.25">
      <c r="B16" t="s">
        <v>1979</v>
      </c>
      <c r="C16" t="s">
        <v>195</v>
      </c>
      <c r="D16" t="s">
        <v>1167</v>
      </c>
      <c r="E16" t="s">
        <v>1168</v>
      </c>
      <c r="F16">
        <v>20</v>
      </c>
      <c r="G16" t="s">
        <v>1991</v>
      </c>
      <c r="H16" t="s">
        <v>1614</v>
      </c>
      <c r="I16" t="s">
        <v>1971</v>
      </c>
    </row>
    <row r="17" spans="2:9" x14ac:dyDescent="0.25">
      <c r="B17" t="s">
        <v>1979</v>
      </c>
      <c r="C17" t="s">
        <v>195</v>
      </c>
      <c r="D17" t="s">
        <v>1167</v>
      </c>
      <c r="E17" t="s">
        <v>1168</v>
      </c>
      <c r="F17">
        <v>180</v>
      </c>
      <c r="G17" t="s">
        <v>1992</v>
      </c>
      <c r="H17" t="s">
        <v>1606</v>
      </c>
      <c r="I17" t="s">
        <v>1971</v>
      </c>
    </row>
    <row r="18" spans="2:9" x14ac:dyDescent="0.25">
      <c r="B18" t="s">
        <v>1979</v>
      </c>
      <c r="C18" t="s">
        <v>70</v>
      </c>
      <c r="D18" t="s">
        <v>1059</v>
      </c>
      <c r="E18" t="s">
        <v>1060</v>
      </c>
      <c r="F18">
        <v>2</v>
      </c>
      <c r="G18" t="s">
        <v>2542</v>
      </c>
      <c r="H18" t="s">
        <v>1627</v>
      </c>
      <c r="I18" t="s">
        <v>1971</v>
      </c>
    </row>
    <row r="19" spans="2:9" x14ac:dyDescent="0.25">
      <c r="B19" t="s">
        <v>1979</v>
      </c>
      <c r="C19" t="s">
        <v>70</v>
      </c>
      <c r="D19" t="s">
        <v>1059</v>
      </c>
      <c r="E19" t="s">
        <v>1060</v>
      </c>
      <c r="F19">
        <v>60</v>
      </c>
      <c r="G19" t="s">
        <v>1993</v>
      </c>
      <c r="H19" t="s">
        <v>1634</v>
      </c>
      <c r="I19" t="s">
        <v>1971</v>
      </c>
    </row>
    <row r="20" spans="2:9" x14ac:dyDescent="0.25">
      <c r="B20" t="s">
        <v>1979</v>
      </c>
      <c r="C20" t="s">
        <v>705</v>
      </c>
      <c r="D20" t="s">
        <v>1117</v>
      </c>
      <c r="E20" t="s">
        <v>1118</v>
      </c>
      <c r="F20">
        <v>20</v>
      </c>
      <c r="G20" t="s">
        <v>1994</v>
      </c>
      <c r="H20" t="s">
        <v>1697</v>
      </c>
      <c r="I20" t="s">
        <v>1971</v>
      </c>
    </row>
    <row r="21" spans="2:9" x14ac:dyDescent="0.25">
      <c r="B21" t="s">
        <v>1979</v>
      </c>
      <c r="C21" t="s">
        <v>712</v>
      </c>
      <c r="D21" t="s">
        <v>713</v>
      </c>
      <c r="E21" t="s">
        <v>714</v>
      </c>
      <c r="F21">
        <v>300</v>
      </c>
      <c r="G21" t="s">
        <v>2028</v>
      </c>
      <c r="H21" t="s">
        <v>1746</v>
      </c>
      <c r="I21" t="s">
        <v>1971</v>
      </c>
    </row>
    <row r="22" spans="2:9" x14ac:dyDescent="0.25">
      <c r="B22" t="s">
        <v>1979</v>
      </c>
      <c r="C22" t="s">
        <v>712</v>
      </c>
      <c r="D22" t="s">
        <v>713</v>
      </c>
      <c r="E22" t="s">
        <v>714</v>
      </c>
      <c r="F22">
        <v>180</v>
      </c>
      <c r="G22" t="s">
        <v>2029</v>
      </c>
      <c r="H22" t="s">
        <v>1629</v>
      </c>
      <c r="I22" t="s">
        <v>1971</v>
      </c>
    </row>
    <row r="23" spans="2:9" x14ac:dyDescent="0.25">
      <c r="B23" t="s">
        <v>1979</v>
      </c>
      <c r="C23" t="s">
        <v>712</v>
      </c>
      <c r="D23" t="s">
        <v>713</v>
      </c>
      <c r="E23" t="s">
        <v>714</v>
      </c>
      <c r="F23">
        <v>120</v>
      </c>
      <c r="G23" t="s">
        <v>2030</v>
      </c>
      <c r="H23" t="s">
        <v>1672</v>
      </c>
      <c r="I23" t="s">
        <v>1971</v>
      </c>
    </row>
    <row r="24" spans="2:9" x14ac:dyDescent="0.25">
      <c r="B24" t="s">
        <v>1979</v>
      </c>
      <c r="C24" t="s">
        <v>712</v>
      </c>
      <c r="D24" t="s">
        <v>713</v>
      </c>
      <c r="E24" t="s">
        <v>714</v>
      </c>
      <c r="F24">
        <v>600</v>
      </c>
      <c r="G24" t="s">
        <v>2177</v>
      </c>
      <c r="H24" t="s">
        <v>1672</v>
      </c>
      <c r="I24" t="s">
        <v>1971</v>
      </c>
    </row>
    <row r="25" spans="2:9" x14ac:dyDescent="0.25">
      <c r="B25" t="s">
        <v>1979</v>
      </c>
      <c r="C25" t="s">
        <v>712</v>
      </c>
      <c r="D25" t="s">
        <v>713</v>
      </c>
      <c r="E25" t="s">
        <v>714</v>
      </c>
      <c r="F25">
        <v>300</v>
      </c>
      <c r="G25" t="s">
        <v>2178</v>
      </c>
      <c r="H25" t="s">
        <v>1610</v>
      </c>
      <c r="I25" t="s">
        <v>1971</v>
      </c>
    </row>
    <row r="26" spans="2:9" x14ac:dyDescent="0.25">
      <c r="B26" t="s">
        <v>1979</v>
      </c>
      <c r="C26" t="s">
        <v>712</v>
      </c>
      <c r="D26" t="s">
        <v>713</v>
      </c>
      <c r="E26" t="s">
        <v>714</v>
      </c>
      <c r="F26">
        <v>120</v>
      </c>
      <c r="G26" t="s">
        <v>2179</v>
      </c>
      <c r="H26" t="s">
        <v>1739</v>
      </c>
      <c r="I26" t="s">
        <v>1971</v>
      </c>
    </row>
    <row r="27" spans="2:9" x14ac:dyDescent="0.25">
      <c r="B27" t="s">
        <v>1979</v>
      </c>
      <c r="C27" t="s">
        <v>712</v>
      </c>
      <c r="D27" t="s">
        <v>713</v>
      </c>
      <c r="E27" t="s">
        <v>714</v>
      </c>
      <c r="F27">
        <v>120</v>
      </c>
      <c r="G27" t="s">
        <v>1996</v>
      </c>
      <c r="H27" t="s">
        <v>1786</v>
      </c>
      <c r="I27" t="s">
        <v>1971</v>
      </c>
    </row>
    <row r="28" spans="2:9" x14ac:dyDescent="0.25">
      <c r="B28" t="s">
        <v>1979</v>
      </c>
      <c r="C28" t="s">
        <v>712</v>
      </c>
      <c r="D28" t="s">
        <v>713</v>
      </c>
      <c r="E28" t="s">
        <v>714</v>
      </c>
      <c r="F28">
        <v>120</v>
      </c>
      <c r="G28" t="s">
        <v>2180</v>
      </c>
      <c r="H28" t="s">
        <v>1786</v>
      </c>
      <c r="I28" t="s">
        <v>1971</v>
      </c>
    </row>
    <row r="29" spans="2:9" x14ac:dyDescent="0.25">
      <c r="B29" t="s">
        <v>1979</v>
      </c>
      <c r="C29" t="s">
        <v>8</v>
      </c>
      <c r="D29" t="s">
        <v>605</v>
      </c>
      <c r="E29" t="s">
        <v>606</v>
      </c>
      <c r="F29">
        <v>80</v>
      </c>
      <c r="G29" t="s">
        <v>2070</v>
      </c>
      <c r="H29" t="s">
        <v>1751</v>
      </c>
      <c r="I29" t="s">
        <v>1971</v>
      </c>
    </row>
    <row r="30" spans="2:9" x14ac:dyDescent="0.25">
      <c r="B30" t="s">
        <v>1979</v>
      </c>
      <c r="C30" t="s">
        <v>8</v>
      </c>
      <c r="D30" t="s">
        <v>605</v>
      </c>
      <c r="E30" t="s">
        <v>606</v>
      </c>
      <c r="F30">
        <v>2000</v>
      </c>
      <c r="G30" t="s">
        <v>1995</v>
      </c>
      <c r="H30" t="s">
        <v>1672</v>
      </c>
      <c r="I30" t="s">
        <v>1971</v>
      </c>
    </row>
    <row r="31" spans="2:9" x14ac:dyDescent="0.25">
      <c r="B31" t="s">
        <v>1979</v>
      </c>
      <c r="C31" t="s">
        <v>8</v>
      </c>
      <c r="D31" t="s">
        <v>605</v>
      </c>
      <c r="E31" t="s">
        <v>606</v>
      </c>
      <c r="F31">
        <v>8000</v>
      </c>
      <c r="G31" t="s">
        <v>1993</v>
      </c>
      <c r="H31" t="s">
        <v>1634</v>
      </c>
      <c r="I31" t="s">
        <v>1971</v>
      </c>
    </row>
    <row r="32" spans="2:9" x14ac:dyDescent="0.25">
      <c r="B32" t="s">
        <v>1979</v>
      </c>
      <c r="C32" t="s">
        <v>8</v>
      </c>
      <c r="D32" t="s">
        <v>605</v>
      </c>
      <c r="E32" t="s">
        <v>606</v>
      </c>
      <c r="F32">
        <v>800</v>
      </c>
      <c r="G32" t="s">
        <v>2078</v>
      </c>
      <c r="H32" t="s">
        <v>1634</v>
      </c>
      <c r="I32" t="s">
        <v>1971</v>
      </c>
    </row>
    <row r="33" spans="2:9" x14ac:dyDescent="0.25">
      <c r="B33" t="s">
        <v>1979</v>
      </c>
      <c r="C33" t="s">
        <v>8</v>
      </c>
      <c r="D33" t="s">
        <v>605</v>
      </c>
      <c r="E33" t="s">
        <v>606</v>
      </c>
      <c r="F33">
        <v>500</v>
      </c>
      <c r="G33" t="s">
        <v>2144</v>
      </c>
      <c r="H33" t="s">
        <v>1739</v>
      </c>
      <c r="I33" t="s">
        <v>1971</v>
      </c>
    </row>
    <row r="34" spans="2:9" x14ac:dyDescent="0.25">
      <c r="B34" t="s">
        <v>1979</v>
      </c>
      <c r="C34" t="s">
        <v>8</v>
      </c>
      <c r="D34" t="s">
        <v>605</v>
      </c>
      <c r="E34" t="s">
        <v>606</v>
      </c>
      <c r="F34">
        <v>200</v>
      </c>
      <c r="G34" t="s">
        <v>2039</v>
      </c>
      <c r="H34" t="s">
        <v>1616</v>
      </c>
      <c r="I34" t="s">
        <v>1971</v>
      </c>
    </row>
    <row r="35" spans="2:9" x14ac:dyDescent="0.25">
      <c r="B35" t="s">
        <v>1979</v>
      </c>
      <c r="C35" t="s">
        <v>8</v>
      </c>
      <c r="D35" t="s">
        <v>605</v>
      </c>
      <c r="E35" t="s">
        <v>606</v>
      </c>
      <c r="F35">
        <v>1260</v>
      </c>
      <c r="G35" t="s">
        <v>2186</v>
      </c>
      <c r="H35" t="s">
        <v>1663</v>
      </c>
      <c r="I35" t="s">
        <v>1971</v>
      </c>
    </row>
    <row r="36" spans="2:9" x14ac:dyDescent="0.25">
      <c r="B36" t="s">
        <v>1979</v>
      </c>
      <c r="C36" t="s">
        <v>8</v>
      </c>
      <c r="D36" t="s">
        <v>605</v>
      </c>
      <c r="E36" t="s">
        <v>606</v>
      </c>
      <c r="F36">
        <v>120</v>
      </c>
      <c r="G36" t="s">
        <v>2042</v>
      </c>
      <c r="H36" t="s">
        <v>1712</v>
      </c>
      <c r="I36" t="s">
        <v>1971</v>
      </c>
    </row>
    <row r="37" spans="2:9" x14ac:dyDescent="0.25">
      <c r="B37" t="s">
        <v>1979</v>
      </c>
      <c r="C37" t="s">
        <v>8</v>
      </c>
      <c r="D37" t="s">
        <v>605</v>
      </c>
      <c r="E37" t="s">
        <v>606</v>
      </c>
      <c r="F37">
        <v>2500</v>
      </c>
      <c r="G37" t="s">
        <v>2183</v>
      </c>
      <c r="H37" t="s">
        <v>1712</v>
      </c>
      <c r="I37" t="s">
        <v>1971</v>
      </c>
    </row>
    <row r="38" spans="2:9" x14ac:dyDescent="0.25">
      <c r="B38" t="s">
        <v>1979</v>
      </c>
      <c r="C38" t="s">
        <v>8</v>
      </c>
      <c r="D38" t="s">
        <v>605</v>
      </c>
      <c r="E38" t="s">
        <v>606</v>
      </c>
      <c r="F38">
        <v>80</v>
      </c>
      <c r="G38" t="s">
        <v>2068</v>
      </c>
      <c r="H38" t="s">
        <v>1815</v>
      </c>
      <c r="I38" t="s">
        <v>1971</v>
      </c>
    </row>
    <row r="39" spans="2:9" x14ac:dyDescent="0.25">
      <c r="B39" t="s">
        <v>1979</v>
      </c>
      <c r="C39" t="s">
        <v>8</v>
      </c>
      <c r="D39" t="s">
        <v>605</v>
      </c>
      <c r="E39" t="s">
        <v>606</v>
      </c>
      <c r="F39">
        <v>180</v>
      </c>
      <c r="G39" t="s">
        <v>2152</v>
      </c>
      <c r="H39" t="s">
        <v>1806</v>
      </c>
      <c r="I39" t="s">
        <v>1971</v>
      </c>
    </row>
    <row r="40" spans="2:9" x14ac:dyDescent="0.25">
      <c r="B40" t="s">
        <v>1979</v>
      </c>
      <c r="C40" t="s">
        <v>8</v>
      </c>
      <c r="D40" t="s">
        <v>605</v>
      </c>
      <c r="E40" t="s">
        <v>606</v>
      </c>
      <c r="F40">
        <v>1280</v>
      </c>
      <c r="G40" t="s">
        <v>2000</v>
      </c>
      <c r="H40" t="s">
        <v>1622</v>
      </c>
      <c r="I40" t="s">
        <v>1971</v>
      </c>
    </row>
    <row r="41" spans="2:9" x14ac:dyDescent="0.25">
      <c r="B41" t="s">
        <v>1979</v>
      </c>
      <c r="C41" t="s">
        <v>8</v>
      </c>
      <c r="D41" t="s">
        <v>605</v>
      </c>
      <c r="E41" t="s">
        <v>606</v>
      </c>
      <c r="F41">
        <v>720</v>
      </c>
      <c r="G41" t="s">
        <v>2000</v>
      </c>
      <c r="H41" t="s">
        <v>1622</v>
      </c>
      <c r="I41" t="s">
        <v>1971</v>
      </c>
    </row>
    <row r="42" spans="2:9" x14ac:dyDescent="0.25">
      <c r="B42" t="s">
        <v>1979</v>
      </c>
      <c r="C42" t="s">
        <v>8</v>
      </c>
      <c r="D42" t="s">
        <v>605</v>
      </c>
      <c r="E42" t="s">
        <v>606</v>
      </c>
      <c r="F42">
        <v>500</v>
      </c>
      <c r="G42" t="s">
        <v>2184</v>
      </c>
      <c r="H42" t="s">
        <v>1681</v>
      </c>
      <c r="I42" t="s">
        <v>1971</v>
      </c>
    </row>
    <row r="43" spans="2:9" x14ac:dyDescent="0.25">
      <c r="B43" t="s">
        <v>1979</v>
      </c>
      <c r="C43" t="s">
        <v>8</v>
      </c>
      <c r="D43" t="s">
        <v>605</v>
      </c>
      <c r="E43" t="s">
        <v>606</v>
      </c>
      <c r="F43">
        <v>300</v>
      </c>
      <c r="G43" t="s">
        <v>2185</v>
      </c>
      <c r="H43" t="s">
        <v>1612</v>
      </c>
      <c r="I43" t="s">
        <v>1971</v>
      </c>
    </row>
    <row r="44" spans="2:9" x14ac:dyDescent="0.25">
      <c r="B44" t="s">
        <v>1979</v>
      </c>
      <c r="C44" t="s">
        <v>8</v>
      </c>
      <c r="D44" t="s">
        <v>605</v>
      </c>
      <c r="E44" t="s">
        <v>606</v>
      </c>
      <c r="F44">
        <v>2500</v>
      </c>
      <c r="G44" t="s">
        <v>2181</v>
      </c>
      <c r="H44" t="s">
        <v>1793</v>
      </c>
      <c r="I44" t="s">
        <v>1971</v>
      </c>
    </row>
    <row r="45" spans="2:9" x14ac:dyDescent="0.25">
      <c r="B45" t="s">
        <v>1979</v>
      </c>
      <c r="C45" t="s">
        <v>8</v>
      </c>
      <c r="D45" t="s">
        <v>605</v>
      </c>
      <c r="E45" t="s">
        <v>606</v>
      </c>
      <c r="F45">
        <v>1500</v>
      </c>
      <c r="G45" t="s">
        <v>2182</v>
      </c>
      <c r="H45" t="s">
        <v>1605</v>
      </c>
      <c r="I45" t="s">
        <v>1971</v>
      </c>
    </row>
    <row r="46" spans="2:9" x14ac:dyDescent="0.25">
      <c r="B46" t="s">
        <v>1979</v>
      </c>
      <c r="C46" t="s">
        <v>8</v>
      </c>
      <c r="D46" t="s">
        <v>605</v>
      </c>
      <c r="E46" t="s">
        <v>606</v>
      </c>
      <c r="F46">
        <v>400</v>
      </c>
      <c r="G46" t="s">
        <v>2187</v>
      </c>
      <c r="H46" t="s">
        <v>1606</v>
      </c>
      <c r="I46" t="s">
        <v>1971</v>
      </c>
    </row>
    <row r="47" spans="2:9" x14ac:dyDescent="0.25">
      <c r="B47" t="s">
        <v>1979</v>
      </c>
      <c r="C47" t="s">
        <v>8</v>
      </c>
      <c r="D47" t="s">
        <v>605</v>
      </c>
      <c r="E47" t="s">
        <v>606</v>
      </c>
      <c r="F47">
        <v>1740</v>
      </c>
      <c r="G47" t="s">
        <v>2147</v>
      </c>
      <c r="H47" t="s">
        <v>2148</v>
      </c>
      <c r="I47" t="s">
        <v>1971</v>
      </c>
    </row>
    <row r="48" spans="2:9" x14ac:dyDescent="0.25">
      <c r="B48" t="s">
        <v>1979</v>
      </c>
      <c r="C48" t="s">
        <v>8</v>
      </c>
      <c r="D48" t="s">
        <v>605</v>
      </c>
      <c r="E48" t="s">
        <v>606</v>
      </c>
      <c r="F48">
        <v>4760</v>
      </c>
      <c r="G48" t="s">
        <v>2147</v>
      </c>
      <c r="H48" t="s">
        <v>2148</v>
      </c>
      <c r="I48" t="s">
        <v>1971</v>
      </c>
    </row>
    <row r="49" spans="2:9" x14ac:dyDescent="0.25">
      <c r="B49" t="s">
        <v>1979</v>
      </c>
      <c r="C49" t="s">
        <v>8</v>
      </c>
      <c r="D49" t="s">
        <v>605</v>
      </c>
      <c r="E49" t="s">
        <v>606</v>
      </c>
      <c r="F49">
        <v>2000</v>
      </c>
      <c r="G49" t="s">
        <v>2188</v>
      </c>
      <c r="H49" t="s">
        <v>2148</v>
      </c>
      <c r="I49" t="s">
        <v>1971</v>
      </c>
    </row>
    <row r="50" spans="2:9" x14ac:dyDescent="0.25">
      <c r="B50" t="s">
        <v>1979</v>
      </c>
      <c r="C50" t="s">
        <v>25</v>
      </c>
      <c r="D50" t="s">
        <v>619</v>
      </c>
      <c r="E50" t="s">
        <v>620</v>
      </c>
      <c r="F50">
        <v>60</v>
      </c>
      <c r="G50" t="s">
        <v>2041</v>
      </c>
      <c r="H50" t="s">
        <v>1751</v>
      </c>
      <c r="I50" t="s">
        <v>1971</v>
      </c>
    </row>
    <row r="51" spans="2:9" x14ac:dyDescent="0.25">
      <c r="B51" t="s">
        <v>1979</v>
      </c>
      <c r="C51" t="s">
        <v>25</v>
      </c>
      <c r="D51" t="s">
        <v>619</v>
      </c>
      <c r="E51" t="s">
        <v>620</v>
      </c>
      <c r="F51">
        <v>100</v>
      </c>
      <c r="G51" t="s">
        <v>2189</v>
      </c>
      <c r="H51" t="s">
        <v>1629</v>
      </c>
      <c r="I51" t="s">
        <v>1971</v>
      </c>
    </row>
    <row r="52" spans="2:9" x14ac:dyDescent="0.25">
      <c r="B52" t="s">
        <v>1979</v>
      </c>
      <c r="C52" t="s">
        <v>25</v>
      </c>
      <c r="D52" t="s">
        <v>619</v>
      </c>
      <c r="E52" t="s">
        <v>620</v>
      </c>
      <c r="F52">
        <v>25</v>
      </c>
      <c r="G52" t="s">
        <v>2026</v>
      </c>
      <c r="H52" t="s">
        <v>1643</v>
      </c>
      <c r="I52" t="s">
        <v>1971</v>
      </c>
    </row>
    <row r="53" spans="2:9" x14ac:dyDescent="0.25">
      <c r="B53" t="s">
        <v>1979</v>
      </c>
      <c r="C53" t="s">
        <v>25</v>
      </c>
      <c r="D53" t="s">
        <v>619</v>
      </c>
      <c r="E53" t="s">
        <v>620</v>
      </c>
      <c r="F53">
        <v>155</v>
      </c>
      <c r="G53" t="s">
        <v>2190</v>
      </c>
      <c r="H53" t="s">
        <v>1646</v>
      </c>
      <c r="I53" t="s">
        <v>1971</v>
      </c>
    </row>
    <row r="54" spans="2:9" x14ac:dyDescent="0.25">
      <c r="B54" t="s">
        <v>1979</v>
      </c>
      <c r="C54" t="s">
        <v>25</v>
      </c>
      <c r="D54" t="s">
        <v>619</v>
      </c>
      <c r="E54" t="s">
        <v>620</v>
      </c>
      <c r="F54">
        <v>30</v>
      </c>
      <c r="G54" t="s">
        <v>2191</v>
      </c>
      <c r="H54" t="s">
        <v>1646</v>
      </c>
      <c r="I54" t="s">
        <v>1971</v>
      </c>
    </row>
    <row r="55" spans="2:9" x14ac:dyDescent="0.25">
      <c r="B55" t="s">
        <v>1979</v>
      </c>
      <c r="C55" t="s">
        <v>25</v>
      </c>
      <c r="D55" t="s">
        <v>619</v>
      </c>
      <c r="E55" t="s">
        <v>620</v>
      </c>
      <c r="F55">
        <v>25</v>
      </c>
      <c r="G55" t="s">
        <v>2191</v>
      </c>
      <c r="H55" t="s">
        <v>1646</v>
      </c>
      <c r="I55" t="s">
        <v>1971</v>
      </c>
    </row>
    <row r="56" spans="2:9" x14ac:dyDescent="0.25">
      <c r="B56" t="s">
        <v>1979</v>
      </c>
      <c r="C56" t="s">
        <v>25</v>
      </c>
      <c r="D56" t="s">
        <v>619</v>
      </c>
      <c r="E56" t="s">
        <v>620</v>
      </c>
      <c r="F56">
        <v>40</v>
      </c>
      <c r="G56" t="s">
        <v>2171</v>
      </c>
      <c r="H56" t="s">
        <v>1663</v>
      </c>
      <c r="I56" t="s">
        <v>1971</v>
      </c>
    </row>
    <row r="57" spans="2:9" x14ac:dyDescent="0.25">
      <c r="B57" t="s">
        <v>1979</v>
      </c>
      <c r="C57" t="s">
        <v>25</v>
      </c>
      <c r="D57" t="s">
        <v>1084</v>
      </c>
      <c r="E57" t="s">
        <v>1085</v>
      </c>
      <c r="F57">
        <v>1800</v>
      </c>
      <c r="G57" t="s">
        <v>2049</v>
      </c>
      <c r="H57" t="s">
        <v>1706</v>
      </c>
      <c r="I57" t="s">
        <v>1971</v>
      </c>
    </row>
    <row r="58" spans="2:9" x14ac:dyDescent="0.25">
      <c r="B58" t="s">
        <v>1979</v>
      </c>
      <c r="C58" t="s">
        <v>25</v>
      </c>
      <c r="D58" t="s">
        <v>1084</v>
      </c>
      <c r="E58" t="s">
        <v>1085</v>
      </c>
      <c r="F58">
        <v>1500</v>
      </c>
      <c r="G58" t="s">
        <v>2065</v>
      </c>
      <c r="H58" t="s">
        <v>1779</v>
      </c>
      <c r="I58" t="s">
        <v>1971</v>
      </c>
    </row>
    <row r="59" spans="2:9" x14ac:dyDescent="0.25">
      <c r="B59" t="s">
        <v>1979</v>
      </c>
      <c r="C59" t="s">
        <v>25</v>
      </c>
      <c r="D59" t="s">
        <v>1084</v>
      </c>
      <c r="E59" t="s">
        <v>1085</v>
      </c>
      <c r="F59">
        <v>20</v>
      </c>
      <c r="G59" t="s">
        <v>2543</v>
      </c>
      <c r="H59" t="s">
        <v>1634</v>
      </c>
      <c r="I59" t="s">
        <v>1971</v>
      </c>
    </row>
    <row r="60" spans="2:9" x14ac:dyDescent="0.25">
      <c r="B60" t="s">
        <v>1979</v>
      </c>
      <c r="C60" t="s">
        <v>25</v>
      </c>
      <c r="D60" t="s">
        <v>1084</v>
      </c>
      <c r="E60" t="s">
        <v>1085</v>
      </c>
      <c r="F60">
        <v>3</v>
      </c>
      <c r="G60" t="s">
        <v>2543</v>
      </c>
      <c r="H60" t="s">
        <v>1634</v>
      </c>
      <c r="I60" t="s">
        <v>1971</v>
      </c>
    </row>
    <row r="61" spans="2:9" x14ac:dyDescent="0.25">
      <c r="B61" t="s">
        <v>1979</v>
      </c>
      <c r="C61" t="s">
        <v>25</v>
      </c>
      <c r="D61" t="s">
        <v>1084</v>
      </c>
      <c r="E61" t="s">
        <v>1085</v>
      </c>
      <c r="F61">
        <v>1008</v>
      </c>
      <c r="G61" t="s">
        <v>2035</v>
      </c>
      <c r="H61" t="s">
        <v>1712</v>
      </c>
      <c r="I61" t="s">
        <v>1971</v>
      </c>
    </row>
    <row r="62" spans="2:9" x14ac:dyDescent="0.25">
      <c r="B62" t="s">
        <v>1979</v>
      </c>
      <c r="C62" t="s">
        <v>237</v>
      </c>
      <c r="D62" t="s">
        <v>1063</v>
      </c>
      <c r="E62" t="s">
        <v>1064</v>
      </c>
      <c r="F62">
        <v>60</v>
      </c>
      <c r="G62" t="s">
        <v>1995</v>
      </c>
      <c r="H62" t="s">
        <v>1672</v>
      </c>
      <c r="I62" t="s">
        <v>1971</v>
      </c>
    </row>
    <row r="63" spans="2:9" x14ac:dyDescent="0.25">
      <c r="B63" t="s">
        <v>1979</v>
      </c>
      <c r="C63" t="s">
        <v>237</v>
      </c>
      <c r="D63" t="s">
        <v>1063</v>
      </c>
      <c r="E63" t="s">
        <v>1064</v>
      </c>
      <c r="F63">
        <v>24</v>
      </c>
      <c r="G63" t="s">
        <v>1996</v>
      </c>
      <c r="H63" t="s">
        <v>1786</v>
      </c>
      <c r="I63" t="s">
        <v>1971</v>
      </c>
    </row>
    <row r="64" spans="2:9" x14ac:dyDescent="0.25">
      <c r="B64" t="s">
        <v>1979</v>
      </c>
      <c r="C64" t="s">
        <v>222</v>
      </c>
      <c r="D64" t="s">
        <v>223</v>
      </c>
      <c r="E64" t="s">
        <v>224</v>
      </c>
      <c r="F64">
        <v>1000</v>
      </c>
      <c r="G64" t="s">
        <v>1981</v>
      </c>
      <c r="H64" t="s">
        <v>1627</v>
      </c>
      <c r="I64" t="s">
        <v>1971</v>
      </c>
    </row>
    <row r="65" spans="2:9" x14ac:dyDescent="0.25">
      <c r="B65" t="s">
        <v>1979</v>
      </c>
      <c r="C65" t="s">
        <v>222</v>
      </c>
      <c r="D65" t="s">
        <v>223</v>
      </c>
      <c r="E65" t="s">
        <v>224</v>
      </c>
      <c r="F65">
        <v>80</v>
      </c>
      <c r="G65" t="s">
        <v>1982</v>
      </c>
      <c r="H65" t="s">
        <v>1627</v>
      </c>
      <c r="I65" t="s">
        <v>1971</v>
      </c>
    </row>
    <row r="66" spans="2:9" x14ac:dyDescent="0.25">
      <c r="B66" t="s">
        <v>1979</v>
      </c>
      <c r="C66" t="s">
        <v>222</v>
      </c>
      <c r="D66" t="s">
        <v>223</v>
      </c>
      <c r="E66" t="s">
        <v>224</v>
      </c>
      <c r="F66">
        <v>580</v>
      </c>
      <c r="G66" t="s">
        <v>1982</v>
      </c>
      <c r="H66" t="s">
        <v>1627</v>
      </c>
      <c r="I66" t="s">
        <v>1971</v>
      </c>
    </row>
    <row r="67" spans="2:9" x14ac:dyDescent="0.25">
      <c r="B67" t="s">
        <v>1979</v>
      </c>
      <c r="C67" t="s">
        <v>222</v>
      </c>
      <c r="D67" t="s">
        <v>223</v>
      </c>
      <c r="E67" t="s">
        <v>224</v>
      </c>
      <c r="F67">
        <v>2340</v>
      </c>
      <c r="G67" t="s">
        <v>1982</v>
      </c>
      <c r="H67" t="s">
        <v>1627</v>
      </c>
      <c r="I67" t="s">
        <v>1971</v>
      </c>
    </row>
    <row r="68" spans="2:9" x14ac:dyDescent="0.25">
      <c r="B68" t="s">
        <v>1979</v>
      </c>
      <c r="C68" t="s">
        <v>222</v>
      </c>
      <c r="D68" t="s">
        <v>223</v>
      </c>
      <c r="E68" t="s">
        <v>224</v>
      </c>
      <c r="F68">
        <v>100</v>
      </c>
      <c r="G68" t="s">
        <v>2031</v>
      </c>
      <c r="H68" t="s">
        <v>1752</v>
      </c>
      <c r="I68" t="s">
        <v>1971</v>
      </c>
    </row>
    <row r="69" spans="2:9" x14ac:dyDescent="0.25">
      <c r="B69" t="s">
        <v>1979</v>
      </c>
      <c r="C69" t="s">
        <v>222</v>
      </c>
      <c r="D69" t="s">
        <v>223</v>
      </c>
      <c r="E69" t="s">
        <v>224</v>
      </c>
      <c r="F69">
        <v>40</v>
      </c>
      <c r="G69" t="s">
        <v>2032</v>
      </c>
      <c r="H69" t="s">
        <v>1867</v>
      </c>
      <c r="I69" t="s">
        <v>1971</v>
      </c>
    </row>
    <row r="70" spans="2:9" x14ac:dyDescent="0.25">
      <c r="B70" t="s">
        <v>1979</v>
      </c>
      <c r="C70" t="s">
        <v>222</v>
      </c>
      <c r="D70" t="s">
        <v>223</v>
      </c>
      <c r="E70" t="s">
        <v>224</v>
      </c>
      <c r="F70">
        <v>60</v>
      </c>
      <c r="G70" t="s">
        <v>2033</v>
      </c>
      <c r="H70" t="s">
        <v>1640</v>
      </c>
      <c r="I70" t="s">
        <v>1971</v>
      </c>
    </row>
    <row r="71" spans="2:9" x14ac:dyDescent="0.25">
      <c r="B71" t="s">
        <v>1979</v>
      </c>
      <c r="C71" t="s">
        <v>222</v>
      </c>
      <c r="D71" t="s">
        <v>223</v>
      </c>
      <c r="E71" t="s">
        <v>224</v>
      </c>
      <c r="F71">
        <v>120</v>
      </c>
      <c r="G71" t="s">
        <v>2034</v>
      </c>
      <c r="H71" t="s">
        <v>1712</v>
      </c>
      <c r="I71" t="s">
        <v>1971</v>
      </c>
    </row>
    <row r="72" spans="2:9" x14ac:dyDescent="0.25">
      <c r="B72" t="s">
        <v>1979</v>
      </c>
      <c r="C72" t="s">
        <v>58</v>
      </c>
      <c r="D72" t="s">
        <v>59</v>
      </c>
      <c r="E72" t="s">
        <v>60</v>
      </c>
      <c r="F72">
        <v>120</v>
      </c>
      <c r="G72" t="s">
        <v>2035</v>
      </c>
      <c r="H72" t="s">
        <v>1712</v>
      </c>
      <c r="I72" t="s">
        <v>1971</v>
      </c>
    </row>
    <row r="73" spans="2:9" x14ac:dyDescent="0.25">
      <c r="B73" t="s">
        <v>1979</v>
      </c>
      <c r="C73" t="s">
        <v>145</v>
      </c>
      <c r="D73" t="s">
        <v>225</v>
      </c>
      <c r="E73" t="s">
        <v>226</v>
      </c>
      <c r="F73">
        <v>30</v>
      </c>
      <c r="G73" t="s">
        <v>2036</v>
      </c>
      <c r="H73" t="s">
        <v>1751</v>
      </c>
      <c r="I73" t="s">
        <v>1971</v>
      </c>
    </row>
    <row r="74" spans="2:9" x14ac:dyDescent="0.25">
      <c r="B74" t="s">
        <v>1979</v>
      </c>
      <c r="C74" t="s">
        <v>145</v>
      </c>
      <c r="D74" t="s">
        <v>225</v>
      </c>
      <c r="E74" t="s">
        <v>226</v>
      </c>
      <c r="F74">
        <v>50</v>
      </c>
      <c r="G74" t="s">
        <v>2037</v>
      </c>
      <c r="H74" t="s">
        <v>1629</v>
      </c>
      <c r="I74" t="s">
        <v>1971</v>
      </c>
    </row>
    <row r="75" spans="2:9" x14ac:dyDescent="0.25">
      <c r="B75" t="s">
        <v>1979</v>
      </c>
      <c r="C75" t="s">
        <v>145</v>
      </c>
      <c r="D75" t="s">
        <v>225</v>
      </c>
      <c r="E75" t="s">
        <v>226</v>
      </c>
      <c r="F75">
        <v>50</v>
      </c>
      <c r="G75" t="s">
        <v>2037</v>
      </c>
      <c r="H75" t="s">
        <v>1629</v>
      </c>
      <c r="I75" t="s">
        <v>1971</v>
      </c>
    </row>
    <row r="76" spans="2:9" x14ac:dyDescent="0.25">
      <c r="B76" t="s">
        <v>1979</v>
      </c>
      <c r="C76" t="s">
        <v>145</v>
      </c>
      <c r="D76" t="s">
        <v>225</v>
      </c>
      <c r="E76" t="s">
        <v>226</v>
      </c>
      <c r="F76">
        <v>100</v>
      </c>
      <c r="G76" t="s">
        <v>2037</v>
      </c>
      <c r="H76" t="s">
        <v>1629</v>
      </c>
      <c r="I76" t="s">
        <v>1971</v>
      </c>
    </row>
    <row r="77" spans="2:9" x14ac:dyDescent="0.25">
      <c r="B77" t="s">
        <v>1979</v>
      </c>
      <c r="C77" t="s">
        <v>145</v>
      </c>
      <c r="D77" t="s">
        <v>225</v>
      </c>
      <c r="E77" t="s">
        <v>226</v>
      </c>
      <c r="F77">
        <v>200</v>
      </c>
      <c r="G77" t="s">
        <v>2038</v>
      </c>
      <c r="H77" t="s">
        <v>1660</v>
      </c>
      <c r="I77" t="s">
        <v>1971</v>
      </c>
    </row>
    <row r="78" spans="2:9" x14ac:dyDescent="0.25">
      <c r="B78" t="s">
        <v>1979</v>
      </c>
      <c r="C78" t="s">
        <v>145</v>
      </c>
      <c r="D78" t="s">
        <v>225</v>
      </c>
      <c r="E78" t="s">
        <v>226</v>
      </c>
      <c r="F78">
        <v>35</v>
      </c>
      <c r="G78" t="s">
        <v>2544</v>
      </c>
      <c r="H78" t="s">
        <v>1742</v>
      </c>
      <c r="I78" t="s">
        <v>1971</v>
      </c>
    </row>
    <row r="79" spans="2:9" x14ac:dyDescent="0.25">
      <c r="B79" t="s">
        <v>1979</v>
      </c>
      <c r="C79" t="s">
        <v>145</v>
      </c>
      <c r="D79" t="s">
        <v>225</v>
      </c>
      <c r="E79" t="s">
        <v>226</v>
      </c>
      <c r="F79">
        <v>370</v>
      </c>
      <c r="G79" t="s">
        <v>2544</v>
      </c>
      <c r="H79" t="s">
        <v>1742</v>
      </c>
      <c r="I79" t="s">
        <v>1971</v>
      </c>
    </row>
    <row r="80" spans="2:9" x14ac:dyDescent="0.25">
      <c r="B80" t="s">
        <v>1979</v>
      </c>
      <c r="C80" t="s">
        <v>145</v>
      </c>
      <c r="D80" t="s">
        <v>225</v>
      </c>
      <c r="E80" t="s">
        <v>226</v>
      </c>
      <c r="F80">
        <v>260</v>
      </c>
      <c r="G80" t="s">
        <v>2544</v>
      </c>
      <c r="H80" t="s">
        <v>1742</v>
      </c>
      <c r="I80" t="s">
        <v>1971</v>
      </c>
    </row>
    <row r="81" spans="2:9" x14ac:dyDescent="0.25">
      <c r="B81" t="s">
        <v>1979</v>
      </c>
      <c r="C81" t="s">
        <v>145</v>
      </c>
      <c r="D81" t="s">
        <v>225</v>
      </c>
      <c r="E81" t="s">
        <v>226</v>
      </c>
      <c r="F81">
        <v>200</v>
      </c>
      <c r="G81" t="s">
        <v>2039</v>
      </c>
      <c r="H81" t="s">
        <v>1616</v>
      </c>
      <c r="I81" t="s">
        <v>1971</v>
      </c>
    </row>
    <row r="82" spans="2:9" x14ac:dyDescent="0.25">
      <c r="B82" t="s">
        <v>1979</v>
      </c>
      <c r="C82" t="s">
        <v>145</v>
      </c>
      <c r="D82" t="s">
        <v>225</v>
      </c>
      <c r="E82" t="s">
        <v>226</v>
      </c>
      <c r="F82">
        <v>60</v>
      </c>
      <c r="G82" t="s">
        <v>2040</v>
      </c>
      <c r="H82" t="s">
        <v>1663</v>
      </c>
      <c r="I82" t="s">
        <v>1971</v>
      </c>
    </row>
    <row r="83" spans="2:9" x14ac:dyDescent="0.25">
      <c r="B83" t="s">
        <v>1979</v>
      </c>
      <c r="C83" t="s">
        <v>145</v>
      </c>
      <c r="D83" t="s">
        <v>146</v>
      </c>
      <c r="E83" t="s">
        <v>147</v>
      </c>
      <c r="F83">
        <v>100</v>
      </c>
      <c r="G83" t="s">
        <v>2043</v>
      </c>
      <c r="H83" t="s">
        <v>1746</v>
      </c>
      <c r="I83" t="s">
        <v>1971</v>
      </c>
    </row>
    <row r="84" spans="2:9" x14ac:dyDescent="0.25">
      <c r="B84" t="s">
        <v>1979</v>
      </c>
      <c r="C84" t="s">
        <v>145</v>
      </c>
      <c r="D84" t="s">
        <v>146</v>
      </c>
      <c r="E84" t="s">
        <v>147</v>
      </c>
      <c r="F84">
        <v>140</v>
      </c>
      <c r="G84" t="s">
        <v>2041</v>
      </c>
      <c r="H84" t="s">
        <v>1751</v>
      </c>
      <c r="I84" t="s">
        <v>1971</v>
      </c>
    </row>
    <row r="85" spans="2:9" x14ac:dyDescent="0.25">
      <c r="B85" t="s">
        <v>1979</v>
      </c>
      <c r="C85" t="s">
        <v>145</v>
      </c>
      <c r="D85" t="s">
        <v>146</v>
      </c>
      <c r="E85" t="s">
        <v>147</v>
      </c>
      <c r="F85">
        <v>840</v>
      </c>
      <c r="G85" t="s">
        <v>2041</v>
      </c>
      <c r="H85" t="s">
        <v>1751</v>
      </c>
      <c r="I85" t="s">
        <v>1971</v>
      </c>
    </row>
    <row r="86" spans="2:9" x14ac:dyDescent="0.25">
      <c r="B86" t="s">
        <v>1979</v>
      </c>
      <c r="C86" t="s">
        <v>145</v>
      </c>
      <c r="D86" t="s">
        <v>146</v>
      </c>
      <c r="E86" t="s">
        <v>147</v>
      </c>
      <c r="F86">
        <v>220</v>
      </c>
      <c r="G86" t="s">
        <v>2041</v>
      </c>
      <c r="H86" t="s">
        <v>1751</v>
      </c>
      <c r="I86" t="s">
        <v>1971</v>
      </c>
    </row>
    <row r="87" spans="2:9" x14ac:dyDescent="0.25">
      <c r="B87" t="s">
        <v>1979</v>
      </c>
      <c r="C87" t="s">
        <v>145</v>
      </c>
      <c r="D87" t="s">
        <v>146</v>
      </c>
      <c r="E87" t="s">
        <v>147</v>
      </c>
      <c r="F87">
        <v>200</v>
      </c>
      <c r="G87" t="s">
        <v>2031</v>
      </c>
      <c r="H87" t="s">
        <v>1752</v>
      </c>
      <c r="I87" t="s">
        <v>1971</v>
      </c>
    </row>
    <row r="88" spans="2:9" x14ac:dyDescent="0.25">
      <c r="B88" t="s">
        <v>1979</v>
      </c>
      <c r="C88" t="s">
        <v>145</v>
      </c>
      <c r="D88" t="s">
        <v>146</v>
      </c>
      <c r="E88" t="s">
        <v>147</v>
      </c>
      <c r="F88">
        <v>400</v>
      </c>
      <c r="G88" t="s">
        <v>2037</v>
      </c>
      <c r="H88" t="s">
        <v>1629</v>
      </c>
      <c r="I88" t="s">
        <v>1971</v>
      </c>
    </row>
    <row r="89" spans="2:9" x14ac:dyDescent="0.25">
      <c r="B89" t="s">
        <v>1979</v>
      </c>
      <c r="C89" t="s">
        <v>145</v>
      </c>
      <c r="D89" t="s">
        <v>146</v>
      </c>
      <c r="E89" t="s">
        <v>147</v>
      </c>
      <c r="F89">
        <v>80</v>
      </c>
      <c r="G89" t="s">
        <v>1985</v>
      </c>
      <c r="H89" t="s">
        <v>1775</v>
      </c>
      <c r="I89" t="s">
        <v>1971</v>
      </c>
    </row>
    <row r="90" spans="2:9" x14ac:dyDescent="0.25">
      <c r="B90" t="s">
        <v>1979</v>
      </c>
      <c r="C90" t="s">
        <v>145</v>
      </c>
      <c r="D90" t="s">
        <v>146</v>
      </c>
      <c r="E90" t="s">
        <v>147</v>
      </c>
      <c r="F90">
        <v>40</v>
      </c>
      <c r="G90" t="s">
        <v>2544</v>
      </c>
      <c r="H90" t="s">
        <v>1742</v>
      </c>
      <c r="I90" t="s">
        <v>1971</v>
      </c>
    </row>
    <row r="91" spans="2:9" x14ac:dyDescent="0.25">
      <c r="B91" t="s">
        <v>1979</v>
      </c>
      <c r="C91" t="s">
        <v>145</v>
      </c>
      <c r="D91" t="s">
        <v>146</v>
      </c>
      <c r="E91" t="s">
        <v>147</v>
      </c>
      <c r="F91">
        <v>200</v>
      </c>
      <c r="G91" t="s">
        <v>2039</v>
      </c>
      <c r="H91" t="s">
        <v>1616</v>
      </c>
      <c r="I91" t="s">
        <v>1971</v>
      </c>
    </row>
    <row r="92" spans="2:9" x14ac:dyDescent="0.25">
      <c r="B92" t="s">
        <v>1979</v>
      </c>
      <c r="C92" t="s">
        <v>145</v>
      </c>
      <c r="D92" t="s">
        <v>146</v>
      </c>
      <c r="E92" t="s">
        <v>147</v>
      </c>
      <c r="F92">
        <v>200</v>
      </c>
      <c r="G92" t="s">
        <v>2042</v>
      </c>
      <c r="H92" t="s">
        <v>1712</v>
      </c>
      <c r="I92" t="s">
        <v>1971</v>
      </c>
    </row>
    <row r="93" spans="2:9" x14ac:dyDescent="0.25">
      <c r="B93" t="s">
        <v>1979</v>
      </c>
      <c r="C93" t="s">
        <v>61</v>
      </c>
      <c r="D93" t="s">
        <v>159</v>
      </c>
      <c r="E93" t="s">
        <v>160</v>
      </c>
      <c r="F93">
        <v>10</v>
      </c>
      <c r="G93" t="s">
        <v>2044</v>
      </c>
      <c r="H93" t="s">
        <v>1632</v>
      </c>
      <c r="I93" t="s">
        <v>1971</v>
      </c>
    </row>
    <row r="94" spans="2:9" x14ac:dyDescent="0.25">
      <c r="B94" t="s">
        <v>1979</v>
      </c>
      <c r="C94" t="s">
        <v>61</v>
      </c>
      <c r="D94" t="s">
        <v>159</v>
      </c>
      <c r="E94" t="s">
        <v>160</v>
      </c>
      <c r="F94">
        <v>5</v>
      </c>
      <c r="G94" t="s">
        <v>2012</v>
      </c>
      <c r="H94" t="s">
        <v>1632</v>
      </c>
      <c r="I94" t="s">
        <v>1971</v>
      </c>
    </row>
    <row r="95" spans="2:9" x14ac:dyDescent="0.25">
      <c r="B95" t="s">
        <v>1979</v>
      </c>
      <c r="C95" t="s">
        <v>61</v>
      </c>
      <c r="D95" t="s">
        <v>159</v>
      </c>
      <c r="E95" t="s">
        <v>160</v>
      </c>
      <c r="F95">
        <v>10</v>
      </c>
      <c r="G95" t="s">
        <v>2045</v>
      </c>
      <c r="H95" t="s">
        <v>1826</v>
      </c>
      <c r="I95" t="s">
        <v>1971</v>
      </c>
    </row>
    <row r="96" spans="2:9" x14ac:dyDescent="0.25">
      <c r="B96" t="s">
        <v>1979</v>
      </c>
      <c r="C96" t="s">
        <v>61</v>
      </c>
      <c r="D96" t="s">
        <v>231</v>
      </c>
      <c r="E96" t="s">
        <v>232</v>
      </c>
      <c r="F96">
        <v>20</v>
      </c>
      <c r="G96" t="s">
        <v>2046</v>
      </c>
      <c r="H96" t="s">
        <v>1631</v>
      </c>
      <c r="I96" t="s">
        <v>1971</v>
      </c>
    </row>
    <row r="97" spans="2:9" x14ac:dyDescent="0.25">
      <c r="B97" t="s">
        <v>1979</v>
      </c>
      <c r="C97" t="s">
        <v>61</v>
      </c>
      <c r="D97" t="s">
        <v>231</v>
      </c>
      <c r="E97" t="s">
        <v>232</v>
      </c>
      <c r="F97">
        <v>940</v>
      </c>
      <c r="G97" t="s">
        <v>2044</v>
      </c>
      <c r="H97" t="s">
        <v>1632</v>
      </c>
      <c r="I97" t="s">
        <v>1971</v>
      </c>
    </row>
    <row r="98" spans="2:9" x14ac:dyDescent="0.25">
      <c r="B98" t="s">
        <v>1979</v>
      </c>
      <c r="C98" t="s">
        <v>61</v>
      </c>
      <c r="D98" t="s">
        <v>231</v>
      </c>
      <c r="E98" t="s">
        <v>232</v>
      </c>
      <c r="F98">
        <v>380</v>
      </c>
      <c r="G98" t="s">
        <v>2044</v>
      </c>
      <c r="H98" t="s">
        <v>1632</v>
      </c>
      <c r="I98" t="s">
        <v>1971</v>
      </c>
    </row>
    <row r="99" spans="2:9" x14ac:dyDescent="0.25">
      <c r="B99" t="s">
        <v>1979</v>
      </c>
      <c r="C99" t="s">
        <v>61</v>
      </c>
      <c r="D99" t="s">
        <v>231</v>
      </c>
      <c r="E99" t="s">
        <v>232</v>
      </c>
      <c r="F99">
        <v>100</v>
      </c>
      <c r="G99" t="s">
        <v>1992</v>
      </c>
      <c r="H99" t="s">
        <v>1606</v>
      </c>
      <c r="I99" t="s">
        <v>1971</v>
      </c>
    </row>
    <row r="100" spans="2:9" x14ac:dyDescent="0.25">
      <c r="B100" t="s">
        <v>1979</v>
      </c>
      <c r="C100" t="s">
        <v>61</v>
      </c>
      <c r="D100" t="s">
        <v>231</v>
      </c>
      <c r="E100" t="s">
        <v>232</v>
      </c>
      <c r="F100">
        <v>140</v>
      </c>
      <c r="G100" t="s">
        <v>2047</v>
      </c>
      <c r="H100" t="s">
        <v>1624</v>
      </c>
      <c r="I100" t="s">
        <v>1971</v>
      </c>
    </row>
    <row r="101" spans="2:9" x14ac:dyDescent="0.25">
      <c r="B101" t="s">
        <v>1979</v>
      </c>
      <c r="C101" t="s">
        <v>117</v>
      </c>
      <c r="D101" t="s">
        <v>118</v>
      </c>
      <c r="E101" t="s">
        <v>119</v>
      </c>
      <c r="F101">
        <v>40</v>
      </c>
      <c r="G101" t="s">
        <v>2048</v>
      </c>
      <c r="H101" t="s">
        <v>1840</v>
      </c>
      <c r="I101" t="s">
        <v>1971</v>
      </c>
    </row>
    <row r="102" spans="2:9" x14ac:dyDescent="0.25">
      <c r="B102" t="s">
        <v>1979</v>
      </c>
      <c r="C102" t="s">
        <v>140</v>
      </c>
      <c r="D102" t="s">
        <v>141</v>
      </c>
      <c r="E102" t="s">
        <v>142</v>
      </c>
      <c r="F102">
        <v>50</v>
      </c>
      <c r="G102" t="s">
        <v>2042</v>
      </c>
      <c r="H102" t="s">
        <v>1712</v>
      </c>
      <c r="I102" t="s">
        <v>1971</v>
      </c>
    </row>
    <row r="103" spans="2:9" x14ac:dyDescent="0.25">
      <c r="B103" t="s">
        <v>1979</v>
      </c>
      <c r="C103" t="s">
        <v>272</v>
      </c>
      <c r="D103" t="s">
        <v>273</v>
      </c>
      <c r="E103" t="s">
        <v>274</v>
      </c>
      <c r="F103">
        <v>37</v>
      </c>
      <c r="G103" t="s">
        <v>2049</v>
      </c>
      <c r="H103" t="s">
        <v>1706</v>
      </c>
      <c r="I103" t="s">
        <v>1971</v>
      </c>
    </row>
    <row r="104" spans="2:9" x14ac:dyDescent="0.25">
      <c r="B104" t="s">
        <v>1979</v>
      </c>
      <c r="C104" t="s">
        <v>272</v>
      </c>
      <c r="D104" t="s">
        <v>273</v>
      </c>
      <c r="E104" t="s">
        <v>274</v>
      </c>
      <c r="F104">
        <v>63</v>
      </c>
      <c r="G104" t="s">
        <v>2049</v>
      </c>
      <c r="H104" t="s">
        <v>1706</v>
      </c>
      <c r="I104" t="s">
        <v>1971</v>
      </c>
    </row>
    <row r="105" spans="2:9" x14ac:dyDescent="0.25">
      <c r="B105" t="s">
        <v>1979</v>
      </c>
      <c r="C105" t="s">
        <v>8</v>
      </c>
      <c r="D105" t="s">
        <v>171</v>
      </c>
      <c r="E105" t="s">
        <v>172</v>
      </c>
      <c r="F105">
        <v>24</v>
      </c>
      <c r="G105" t="s">
        <v>2039</v>
      </c>
      <c r="H105" t="s">
        <v>1616</v>
      </c>
      <c r="I105" t="s">
        <v>1971</v>
      </c>
    </row>
    <row r="106" spans="2:9" x14ac:dyDescent="0.25">
      <c r="B106" t="s">
        <v>1979</v>
      </c>
      <c r="C106" t="s">
        <v>8</v>
      </c>
      <c r="D106" t="s">
        <v>171</v>
      </c>
      <c r="E106" t="s">
        <v>172</v>
      </c>
      <c r="F106">
        <v>12</v>
      </c>
      <c r="G106" t="s">
        <v>2064</v>
      </c>
      <c r="H106" t="s">
        <v>1654</v>
      </c>
      <c r="I106" t="s">
        <v>1971</v>
      </c>
    </row>
    <row r="107" spans="2:9" x14ac:dyDescent="0.25">
      <c r="B107" t="s">
        <v>1979</v>
      </c>
      <c r="C107" t="s">
        <v>8</v>
      </c>
      <c r="D107" t="s">
        <v>9</v>
      </c>
      <c r="E107" t="s">
        <v>10</v>
      </c>
      <c r="F107">
        <v>100</v>
      </c>
      <c r="G107" t="s">
        <v>2132</v>
      </c>
      <c r="H107" t="s">
        <v>1752</v>
      </c>
      <c r="I107" t="s">
        <v>1971</v>
      </c>
    </row>
    <row r="108" spans="2:9" x14ac:dyDescent="0.25">
      <c r="B108" t="s">
        <v>1979</v>
      </c>
      <c r="C108" t="s">
        <v>8</v>
      </c>
      <c r="D108" t="s">
        <v>9</v>
      </c>
      <c r="E108" t="s">
        <v>10</v>
      </c>
      <c r="F108">
        <v>100</v>
      </c>
      <c r="G108" t="s">
        <v>2133</v>
      </c>
      <c r="H108" t="s">
        <v>1775</v>
      </c>
      <c r="I108" t="s">
        <v>1971</v>
      </c>
    </row>
    <row r="109" spans="2:9" x14ac:dyDescent="0.25">
      <c r="B109" t="s">
        <v>1979</v>
      </c>
      <c r="C109" t="s">
        <v>8</v>
      </c>
      <c r="D109" t="s">
        <v>9</v>
      </c>
      <c r="E109" t="s">
        <v>10</v>
      </c>
      <c r="F109">
        <v>100</v>
      </c>
      <c r="G109" t="s">
        <v>2134</v>
      </c>
      <c r="H109" t="s">
        <v>1724</v>
      </c>
      <c r="I109" t="s">
        <v>1971</v>
      </c>
    </row>
    <row r="110" spans="2:9" x14ac:dyDescent="0.25">
      <c r="B110" t="s">
        <v>1979</v>
      </c>
      <c r="C110" t="s">
        <v>8</v>
      </c>
      <c r="D110" t="s">
        <v>9</v>
      </c>
      <c r="E110" t="s">
        <v>10</v>
      </c>
      <c r="F110">
        <v>100</v>
      </c>
      <c r="G110" t="s">
        <v>2135</v>
      </c>
      <c r="H110" t="s">
        <v>1793</v>
      </c>
      <c r="I110" t="s">
        <v>1971</v>
      </c>
    </row>
    <row r="111" spans="2:9" x14ac:dyDescent="0.25">
      <c r="B111" t="s">
        <v>1979</v>
      </c>
      <c r="C111" t="s">
        <v>8</v>
      </c>
      <c r="D111" t="s">
        <v>9</v>
      </c>
      <c r="E111" t="s">
        <v>10</v>
      </c>
      <c r="F111">
        <v>100</v>
      </c>
      <c r="G111" t="s">
        <v>2136</v>
      </c>
      <c r="H111" t="s">
        <v>1646</v>
      </c>
      <c r="I111" t="s">
        <v>1971</v>
      </c>
    </row>
    <row r="112" spans="2:9" x14ac:dyDescent="0.25">
      <c r="B112" t="s">
        <v>1979</v>
      </c>
      <c r="C112" t="s">
        <v>8</v>
      </c>
      <c r="D112" t="s">
        <v>9</v>
      </c>
      <c r="E112" t="s">
        <v>10</v>
      </c>
      <c r="F112">
        <v>500</v>
      </c>
      <c r="G112" t="s">
        <v>2141</v>
      </c>
      <c r="H112" t="s">
        <v>1622</v>
      </c>
      <c r="I112" t="s">
        <v>1971</v>
      </c>
    </row>
    <row r="113" spans="2:9" x14ac:dyDescent="0.25">
      <c r="B113" t="s">
        <v>1979</v>
      </c>
      <c r="C113" t="s">
        <v>8</v>
      </c>
      <c r="D113" t="s">
        <v>9</v>
      </c>
      <c r="E113" t="s">
        <v>10</v>
      </c>
      <c r="F113">
        <v>700</v>
      </c>
      <c r="G113" t="s">
        <v>2142</v>
      </c>
      <c r="H113" t="s">
        <v>1712</v>
      </c>
      <c r="I113" t="s">
        <v>1971</v>
      </c>
    </row>
    <row r="114" spans="2:9" x14ac:dyDescent="0.25">
      <c r="B114" t="s">
        <v>1979</v>
      </c>
      <c r="C114" t="s">
        <v>20</v>
      </c>
      <c r="D114" t="s">
        <v>173</v>
      </c>
      <c r="E114" t="s">
        <v>174</v>
      </c>
      <c r="F114">
        <v>24</v>
      </c>
      <c r="G114" t="s">
        <v>2145</v>
      </c>
      <c r="H114" t="s">
        <v>1786</v>
      </c>
      <c r="I114" t="s">
        <v>1971</v>
      </c>
    </row>
    <row r="115" spans="2:9" x14ac:dyDescent="0.25">
      <c r="B115" t="s">
        <v>1979</v>
      </c>
      <c r="C115" t="s">
        <v>20</v>
      </c>
      <c r="D115" t="s">
        <v>173</v>
      </c>
      <c r="E115" t="s">
        <v>174</v>
      </c>
      <c r="F115">
        <v>2</v>
      </c>
      <c r="G115" t="s">
        <v>2034</v>
      </c>
      <c r="H115" t="s">
        <v>1712</v>
      </c>
      <c r="I115" t="s">
        <v>1971</v>
      </c>
    </row>
    <row r="116" spans="2:9" x14ac:dyDescent="0.25">
      <c r="B116" t="s">
        <v>1979</v>
      </c>
      <c r="C116" t="s">
        <v>20</v>
      </c>
      <c r="D116" t="s">
        <v>173</v>
      </c>
      <c r="E116" t="s">
        <v>174</v>
      </c>
      <c r="F116">
        <v>1</v>
      </c>
      <c r="G116" t="s">
        <v>2034</v>
      </c>
      <c r="H116" t="s">
        <v>1712</v>
      </c>
      <c r="I116" t="s">
        <v>1971</v>
      </c>
    </row>
    <row r="117" spans="2:9" x14ac:dyDescent="0.25">
      <c r="B117" t="s">
        <v>1979</v>
      </c>
      <c r="C117" t="s">
        <v>20</v>
      </c>
      <c r="D117" t="s">
        <v>173</v>
      </c>
      <c r="E117" t="s">
        <v>174</v>
      </c>
      <c r="F117">
        <v>9</v>
      </c>
      <c r="G117" t="s">
        <v>2034</v>
      </c>
      <c r="H117" t="s">
        <v>1712</v>
      </c>
      <c r="I117" t="s">
        <v>1971</v>
      </c>
    </row>
    <row r="118" spans="2:9" x14ac:dyDescent="0.25">
      <c r="B118" t="s">
        <v>1979</v>
      </c>
      <c r="C118" t="s">
        <v>20</v>
      </c>
      <c r="D118" t="s">
        <v>173</v>
      </c>
      <c r="E118" t="s">
        <v>174</v>
      </c>
      <c r="F118">
        <v>24</v>
      </c>
      <c r="G118" t="s">
        <v>2034</v>
      </c>
      <c r="H118" t="s">
        <v>1712</v>
      </c>
      <c r="I118" t="s">
        <v>1971</v>
      </c>
    </row>
    <row r="119" spans="2:9" x14ac:dyDescent="0.25">
      <c r="B119" t="s">
        <v>1979</v>
      </c>
      <c r="C119" t="s">
        <v>20</v>
      </c>
      <c r="D119" t="s">
        <v>259</v>
      </c>
      <c r="E119" t="s">
        <v>260</v>
      </c>
      <c r="F119">
        <v>5040</v>
      </c>
      <c r="G119" t="s">
        <v>2049</v>
      </c>
      <c r="H119" t="s">
        <v>1706</v>
      </c>
      <c r="I119" t="s">
        <v>1971</v>
      </c>
    </row>
    <row r="120" spans="2:9" x14ac:dyDescent="0.25">
      <c r="B120" t="s">
        <v>1979</v>
      </c>
      <c r="C120" t="s">
        <v>20</v>
      </c>
      <c r="D120" t="s">
        <v>259</v>
      </c>
      <c r="E120" t="s">
        <v>260</v>
      </c>
      <c r="F120">
        <v>1680</v>
      </c>
      <c r="G120" t="s">
        <v>2066</v>
      </c>
      <c r="H120" t="s">
        <v>1653</v>
      </c>
      <c r="I120" t="s">
        <v>1971</v>
      </c>
    </row>
    <row r="121" spans="2:9" x14ac:dyDescent="0.25">
      <c r="B121" t="s">
        <v>1979</v>
      </c>
      <c r="C121" t="s">
        <v>20</v>
      </c>
      <c r="D121" t="s">
        <v>259</v>
      </c>
      <c r="E121" t="s">
        <v>260</v>
      </c>
      <c r="F121">
        <v>3360</v>
      </c>
      <c r="G121" t="s">
        <v>2035</v>
      </c>
      <c r="H121" t="s">
        <v>1712</v>
      </c>
      <c r="I121" t="s">
        <v>1971</v>
      </c>
    </row>
    <row r="122" spans="2:9" x14ac:dyDescent="0.25">
      <c r="B122" t="s">
        <v>1979</v>
      </c>
      <c r="C122" t="s">
        <v>40</v>
      </c>
      <c r="D122" t="s">
        <v>41</v>
      </c>
      <c r="E122" t="s">
        <v>42</v>
      </c>
      <c r="F122">
        <v>240</v>
      </c>
      <c r="G122" t="s">
        <v>2144</v>
      </c>
      <c r="H122" t="s">
        <v>1739</v>
      </c>
      <c r="I122" t="s">
        <v>1971</v>
      </c>
    </row>
    <row r="123" spans="2:9" x14ac:dyDescent="0.25">
      <c r="B123" t="s">
        <v>1979</v>
      </c>
      <c r="C123" t="s">
        <v>40</v>
      </c>
      <c r="D123" t="s">
        <v>41</v>
      </c>
      <c r="E123" t="s">
        <v>42</v>
      </c>
      <c r="F123">
        <v>36</v>
      </c>
      <c r="G123" t="s">
        <v>2181</v>
      </c>
      <c r="H123" t="s">
        <v>1793</v>
      </c>
      <c r="I123" t="s">
        <v>1971</v>
      </c>
    </row>
    <row r="124" spans="2:9" x14ac:dyDescent="0.25">
      <c r="B124" t="s">
        <v>1979</v>
      </c>
      <c r="C124" t="s">
        <v>40</v>
      </c>
      <c r="D124" t="s">
        <v>41</v>
      </c>
      <c r="E124" t="s">
        <v>42</v>
      </c>
      <c r="F124">
        <v>36</v>
      </c>
      <c r="G124" t="s">
        <v>2193</v>
      </c>
      <c r="H124" t="s">
        <v>1605</v>
      </c>
      <c r="I124" t="s">
        <v>1971</v>
      </c>
    </row>
    <row r="125" spans="2:9" x14ac:dyDescent="0.25">
      <c r="B125" t="s">
        <v>1979</v>
      </c>
      <c r="C125" t="s">
        <v>217</v>
      </c>
      <c r="D125" t="s">
        <v>1287</v>
      </c>
      <c r="E125" t="s">
        <v>1288</v>
      </c>
      <c r="F125">
        <v>20</v>
      </c>
      <c r="G125" t="s">
        <v>2045</v>
      </c>
      <c r="H125" t="s">
        <v>1826</v>
      </c>
      <c r="I125" t="s">
        <v>1971</v>
      </c>
    </row>
    <row r="126" spans="2:9" x14ac:dyDescent="0.25">
      <c r="B126" t="s">
        <v>1979</v>
      </c>
      <c r="C126" t="s">
        <v>145</v>
      </c>
      <c r="D126" t="s">
        <v>974</v>
      </c>
      <c r="E126" t="s">
        <v>975</v>
      </c>
      <c r="F126">
        <v>52</v>
      </c>
      <c r="G126" t="s">
        <v>2544</v>
      </c>
      <c r="H126" t="s">
        <v>1742</v>
      </c>
      <c r="I126" t="s">
        <v>1971</v>
      </c>
    </row>
    <row r="127" spans="2:9" x14ac:dyDescent="0.25">
      <c r="B127" t="s">
        <v>1979</v>
      </c>
      <c r="C127" t="s">
        <v>145</v>
      </c>
      <c r="D127" t="s">
        <v>974</v>
      </c>
      <c r="E127" t="s">
        <v>975</v>
      </c>
      <c r="F127">
        <v>60</v>
      </c>
      <c r="G127" t="s">
        <v>2039</v>
      </c>
      <c r="H127" t="s">
        <v>1616</v>
      </c>
      <c r="I127" t="s">
        <v>1971</v>
      </c>
    </row>
    <row r="128" spans="2:9" x14ac:dyDescent="0.25">
      <c r="B128" t="s">
        <v>1979</v>
      </c>
      <c r="C128" t="s">
        <v>73</v>
      </c>
      <c r="D128" t="s">
        <v>983</v>
      </c>
      <c r="E128" t="s">
        <v>984</v>
      </c>
      <c r="F128">
        <v>25</v>
      </c>
      <c r="G128" t="s">
        <v>1983</v>
      </c>
      <c r="H128" t="s">
        <v>1984</v>
      </c>
      <c r="I128" t="s">
        <v>1971</v>
      </c>
    </row>
    <row r="129" spans="2:9" x14ac:dyDescent="0.25">
      <c r="B129" t="s">
        <v>1979</v>
      </c>
      <c r="C129" t="s">
        <v>140</v>
      </c>
      <c r="D129" t="s">
        <v>570</v>
      </c>
      <c r="E129" t="s">
        <v>571</v>
      </c>
      <c r="F129">
        <v>12</v>
      </c>
      <c r="G129" t="s">
        <v>2032</v>
      </c>
      <c r="H129" t="s">
        <v>1867</v>
      </c>
      <c r="I129" t="s">
        <v>1971</v>
      </c>
    </row>
    <row r="130" spans="2:9" x14ac:dyDescent="0.25">
      <c r="B130" t="s">
        <v>1979</v>
      </c>
      <c r="C130" t="s">
        <v>140</v>
      </c>
      <c r="D130" t="s">
        <v>570</v>
      </c>
      <c r="E130" t="s">
        <v>571</v>
      </c>
      <c r="F130">
        <v>12</v>
      </c>
      <c r="G130" t="s">
        <v>2034</v>
      </c>
      <c r="H130" t="s">
        <v>1712</v>
      </c>
      <c r="I130" t="s">
        <v>1971</v>
      </c>
    </row>
    <row r="131" spans="2:9" x14ac:dyDescent="0.25">
      <c r="B131" t="s">
        <v>1979</v>
      </c>
      <c r="C131" t="s">
        <v>83</v>
      </c>
      <c r="D131" t="s">
        <v>1270</v>
      </c>
      <c r="E131" t="s">
        <v>1271</v>
      </c>
      <c r="F131">
        <v>48</v>
      </c>
      <c r="G131" t="s">
        <v>2035</v>
      </c>
      <c r="H131" t="s">
        <v>1712</v>
      </c>
      <c r="I131" t="s">
        <v>1971</v>
      </c>
    </row>
    <row r="132" spans="2:9" x14ac:dyDescent="0.25">
      <c r="B132" t="s">
        <v>1979</v>
      </c>
      <c r="C132" t="s">
        <v>8</v>
      </c>
      <c r="D132" t="s">
        <v>1340</v>
      </c>
      <c r="E132" t="s">
        <v>1341</v>
      </c>
      <c r="F132">
        <v>200</v>
      </c>
      <c r="G132" t="s">
        <v>2039</v>
      </c>
      <c r="H132" t="s">
        <v>1616</v>
      </c>
      <c r="I132" t="s">
        <v>1971</v>
      </c>
    </row>
    <row r="133" spans="2:9" x14ac:dyDescent="0.25">
      <c r="B133" t="s">
        <v>1979</v>
      </c>
      <c r="C133" t="s">
        <v>8</v>
      </c>
      <c r="D133" t="s">
        <v>1340</v>
      </c>
      <c r="E133" t="s">
        <v>1341</v>
      </c>
      <c r="F133">
        <v>40</v>
      </c>
      <c r="G133" t="s">
        <v>2147</v>
      </c>
      <c r="H133" t="s">
        <v>2148</v>
      </c>
      <c r="I133" t="s">
        <v>1971</v>
      </c>
    </row>
    <row r="134" spans="2:9" x14ac:dyDescent="0.25">
      <c r="B134" t="s">
        <v>1979</v>
      </c>
      <c r="C134" t="s">
        <v>8</v>
      </c>
      <c r="D134" t="s">
        <v>1340</v>
      </c>
      <c r="E134" t="s">
        <v>1341</v>
      </c>
      <c r="F134">
        <v>100</v>
      </c>
      <c r="G134" t="s">
        <v>2147</v>
      </c>
      <c r="H134" t="s">
        <v>2148</v>
      </c>
      <c r="I134" t="s">
        <v>1971</v>
      </c>
    </row>
    <row r="135" spans="2:9" x14ac:dyDescent="0.25">
      <c r="B135" t="s">
        <v>1979</v>
      </c>
      <c r="C135" t="s">
        <v>8</v>
      </c>
      <c r="D135" t="s">
        <v>1340</v>
      </c>
      <c r="E135" t="s">
        <v>1341</v>
      </c>
      <c r="F135">
        <v>1360</v>
      </c>
      <c r="G135" t="s">
        <v>2147</v>
      </c>
      <c r="H135" t="s">
        <v>2148</v>
      </c>
      <c r="I135" t="s">
        <v>1971</v>
      </c>
    </row>
    <row r="136" spans="2:9" x14ac:dyDescent="0.25">
      <c r="B136" t="s">
        <v>1979</v>
      </c>
      <c r="C136" t="s">
        <v>20</v>
      </c>
      <c r="D136" t="s">
        <v>1003</v>
      </c>
      <c r="E136" t="s">
        <v>1004</v>
      </c>
      <c r="F136">
        <v>60</v>
      </c>
      <c r="G136" t="s">
        <v>2032</v>
      </c>
      <c r="H136" t="s">
        <v>1867</v>
      </c>
      <c r="I136" t="s">
        <v>1971</v>
      </c>
    </row>
    <row r="137" spans="2:9" x14ac:dyDescent="0.25">
      <c r="B137" t="s">
        <v>1979</v>
      </c>
      <c r="C137" t="s">
        <v>20</v>
      </c>
      <c r="D137" t="s">
        <v>1003</v>
      </c>
      <c r="E137" t="s">
        <v>1004</v>
      </c>
      <c r="F137">
        <v>190</v>
      </c>
      <c r="G137" t="s">
        <v>1995</v>
      </c>
      <c r="H137" t="s">
        <v>1672</v>
      </c>
      <c r="I137" t="s">
        <v>1971</v>
      </c>
    </row>
    <row r="138" spans="2:9" x14ac:dyDescent="0.25">
      <c r="B138" t="s">
        <v>1979</v>
      </c>
      <c r="C138" t="s">
        <v>20</v>
      </c>
      <c r="D138" t="s">
        <v>1003</v>
      </c>
      <c r="E138" t="s">
        <v>1004</v>
      </c>
      <c r="F138">
        <v>60</v>
      </c>
      <c r="G138" t="s">
        <v>1995</v>
      </c>
      <c r="H138" t="s">
        <v>1672</v>
      </c>
      <c r="I138" t="s">
        <v>1971</v>
      </c>
    </row>
    <row r="139" spans="2:9" x14ac:dyDescent="0.25">
      <c r="B139" t="s">
        <v>1979</v>
      </c>
      <c r="C139" t="s">
        <v>20</v>
      </c>
      <c r="D139" t="s">
        <v>1003</v>
      </c>
      <c r="E139" t="s">
        <v>1004</v>
      </c>
      <c r="F139">
        <v>250</v>
      </c>
      <c r="G139" t="s">
        <v>1995</v>
      </c>
      <c r="H139" t="s">
        <v>1672</v>
      </c>
      <c r="I139" t="s">
        <v>1971</v>
      </c>
    </row>
    <row r="140" spans="2:9" x14ac:dyDescent="0.25">
      <c r="B140" t="s">
        <v>1979</v>
      </c>
      <c r="C140" t="s">
        <v>20</v>
      </c>
      <c r="D140" t="s">
        <v>1003</v>
      </c>
      <c r="E140" t="s">
        <v>1004</v>
      </c>
      <c r="F140">
        <v>200</v>
      </c>
      <c r="G140" t="s">
        <v>2150</v>
      </c>
      <c r="H140" t="s">
        <v>1672</v>
      </c>
      <c r="I140" t="s">
        <v>1971</v>
      </c>
    </row>
    <row r="141" spans="2:9" x14ac:dyDescent="0.25">
      <c r="B141" t="s">
        <v>1979</v>
      </c>
      <c r="C141" t="s">
        <v>20</v>
      </c>
      <c r="D141" t="s">
        <v>1003</v>
      </c>
      <c r="E141" t="s">
        <v>1004</v>
      </c>
      <c r="F141">
        <v>10</v>
      </c>
      <c r="G141" t="s">
        <v>2545</v>
      </c>
      <c r="H141" t="s">
        <v>1624</v>
      </c>
      <c r="I141" t="s">
        <v>1971</v>
      </c>
    </row>
    <row r="142" spans="2:9" x14ac:dyDescent="0.25">
      <c r="B142" t="s">
        <v>1979</v>
      </c>
      <c r="C142" t="s">
        <v>20</v>
      </c>
      <c r="D142" t="s">
        <v>459</v>
      </c>
      <c r="E142" t="s">
        <v>460</v>
      </c>
      <c r="F142">
        <v>40</v>
      </c>
      <c r="G142" t="s">
        <v>2111</v>
      </c>
      <c r="H142" t="s">
        <v>1746</v>
      </c>
      <c r="I142" t="s">
        <v>1971</v>
      </c>
    </row>
    <row r="143" spans="2:9" x14ac:dyDescent="0.25">
      <c r="B143" t="s">
        <v>1979</v>
      </c>
      <c r="C143" t="s">
        <v>20</v>
      </c>
      <c r="D143" t="s">
        <v>459</v>
      </c>
      <c r="E143" t="s">
        <v>460</v>
      </c>
      <c r="F143">
        <v>20</v>
      </c>
      <c r="G143" t="s">
        <v>2542</v>
      </c>
      <c r="H143" t="s">
        <v>1627</v>
      </c>
      <c r="I143" t="s">
        <v>1971</v>
      </c>
    </row>
    <row r="144" spans="2:9" x14ac:dyDescent="0.25">
      <c r="B144" t="s">
        <v>1979</v>
      </c>
      <c r="C144" t="s">
        <v>20</v>
      </c>
      <c r="D144" t="s">
        <v>459</v>
      </c>
      <c r="E144" t="s">
        <v>460</v>
      </c>
      <c r="F144">
        <v>80</v>
      </c>
      <c r="G144" t="s">
        <v>2165</v>
      </c>
      <c r="H144" t="s">
        <v>1627</v>
      </c>
      <c r="I144" t="s">
        <v>1971</v>
      </c>
    </row>
    <row r="145" spans="2:9" x14ac:dyDescent="0.25">
      <c r="B145" t="s">
        <v>1979</v>
      </c>
      <c r="C145" t="s">
        <v>20</v>
      </c>
      <c r="D145" t="s">
        <v>459</v>
      </c>
      <c r="E145" t="s">
        <v>460</v>
      </c>
      <c r="F145">
        <v>60</v>
      </c>
      <c r="G145" t="s">
        <v>2165</v>
      </c>
      <c r="H145" t="s">
        <v>1627</v>
      </c>
      <c r="I145" t="s">
        <v>1971</v>
      </c>
    </row>
    <row r="146" spans="2:9" x14ac:dyDescent="0.25">
      <c r="B146" t="s">
        <v>1979</v>
      </c>
      <c r="C146" t="s">
        <v>20</v>
      </c>
      <c r="D146" t="s">
        <v>459</v>
      </c>
      <c r="E146" t="s">
        <v>460</v>
      </c>
      <c r="F146">
        <v>360</v>
      </c>
      <c r="G146" t="s">
        <v>2166</v>
      </c>
      <c r="H146" t="s">
        <v>1627</v>
      </c>
      <c r="I146" t="s">
        <v>1971</v>
      </c>
    </row>
    <row r="147" spans="2:9" x14ac:dyDescent="0.25">
      <c r="B147" t="s">
        <v>1979</v>
      </c>
      <c r="C147" t="s">
        <v>20</v>
      </c>
      <c r="D147" t="s">
        <v>459</v>
      </c>
      <c r="E147" t="s">
        <v>460</v>
      </c>
      <c r="F147">
        <v>80</v>
      </c>
      <c r="G147" t="s">
        <v>2070</v>
      </c>
      <c r="H147" t="s">
        <v>1751</v>
      </c>
      <c r="I147" t="s">
        <v>1971</v>
      </c>
    </row>
    <row r="148" spans="2:9" x14ac:dyDescent="0.25">
      <c r="B148" t="s">
        <v>1979</v>
      </c>
      <c r="C148" t="s">
        <v>20</v>
      </c>
      <c r="D148" t="s">
        <v>459</v>
      </c>
      <c r="E148" t="s">
        <v>460</v>
      </c>
      <c r="F148">
        <v>300</v>
      </c>
      <c r="G148" t="s">
        <v>2042</v>
      </c>
      <c r="H148" t="s">
        <v>1712</v>
      </c>
      <c r="I148" t="s">
        <v>1971</v>
      </c>
    </row>
    <row r="149" spans="2:9" x14ac:dyDescent="0.25">
      <c r="B149" t="s">
        <v>1979</v>
      </c>
      <c r="C149" t="s">
        <v>20</v>
      </c>
      <c r="D149" t="s">
        <v>459</v>
      </c>
      <c r="E149" t="s">
        <v>460</v>
      </c>
      <c r="F149">
        <v>60</v>
      </c>
      <c r="G149" t="s">
        <v>2034</v>
      </c>
      <c r="H149" t="s">
        <v>1712</v>
      </c>
      <c r="I149" t="s">
        <v>1971</v>
      </c>
    </row>
    <row r="150" spans="2:9" x14ac:dyDescent="0.25">
      <c r="B150" t="s">
        <v>1979</v>
      </c>
      <c r="C150" t="s">
        <v>20</v>
      </c>
      <c r="D150" t="s">
        <v>459</v>
      </c>
      <c r="E150" t="s">
        <v>460</v>
      </c>
      <c r="F150">
        <v>100</v>
      </c>
      <c r="G150" t="s">
        <v>2145</v>
      </c>
      <c r="H150" t="s">
        <v>1786</v>
      </c>
      <c r="I150" t="s">
        <v>1971</v>
      </c>
    </row>
    <row r="151" spans="2:9" x14ac:dyDescent="0.25">
      <c r="B151" t="s">
        <v>1979</v>
      </c>
      <c r="C151" t="s">
        <v>20</v>
      </c>
      <c r="D151" t="s">
        <v>459</v>
      </c>
      <c r="E151" t="s">
        <v>460</v>
      </c>
      <c r="F151">
        <v>120</v>
      </c>
      <c r="G151" t="s">
        <v>2039</v>
      </c>
      <c r="H151" t="s">
        <v>1616</v>
      </c>
      <c r="I151" t="s">
        <v>1971</v>
      </c>
    </row>
    <row r="152" spans="2:9" x14ac:dyDescent="0.25">
      <c r="B152" t="s">
        <v>1979</v>
      </c>
      <c r="C152" t="s">
        <v>20</v>
      </c>
      <c r="D152" t="s">
        <v>459</v>
      </c>
      <c r="E152" t="s">
        <v>460</v>
      </c>
      <c r="F152">
        <v>40</v>
      </c>
      <c r="G152" t="s">
        <v>2061</v>
      </c>
      <c r="H152" t="s">
        <v>1793</v>
      </c>
      <c r="I152" t="s">
        <v>1971</v>
      </c>
    </row>
    <row r="153" spans="2:9" x14ac:dyDescent="0.25">
      <c r="B153" t="s">
        <v>1979</v>
      </c>
      <c r="C153" t="s">
        <v>20</v>
      </c>
      <c r="D153" t="s">
        <v>459</v>
      </c>
      <c r="E153" t="s">
        <v>460</v>
      </c>
      <c r="F153">
        <v>20</v>
      </c>
      <c r="G153" t="s">
        <v>2151</v>
      </c>
      <c r="H153" t="s">
        <v>1697</v>
      </c>
      <c r="I153" t="s">
        <v>1971</v>
      </c>
    </row>
    <row r="154" spans="2:9" x14ac:dyDescent="0.25">
      <c r="B154" t="s">
        <v>1979</v>
      </c>
      <c r="C154" t="s">
        <v>20</v>
      </c>
      <c r="D154" t="s">
        <v>459</v>
      </c>
      <c r="E154" t="s">
        <v>460</v>
      </c>
      <c r="F154">
        <v>180</v>
      </c>
      <c r="G154" t="s">
        <v>2152</v>
      </c>
      <c r="H154" t="s">
        <v>1806</v>
      </c>
      <c r="I154" t="s">
        <v>1971</v>
      </c>
    </row>
    <row r="155" spans="2:9" x14ac:dyDescent="0.25">
      <c r="B155" t="s">
        <v>1979</v>
      </c>
      <c r="C155" t="s">
        <v>20</v>
      </c>
      <c r="D155" t="s">
        <v>459</v>
      </c>
      <c r="E155" t="s">
        <v>460</v>
      </c>
      <c r="F155">
        <v>500</v>
      </c>
      <c r="G155" t="s">
        <v>2000</v>
      </c>
      <c r="H155" t="s">
        <v>1622</v>
      </c>
      <c r="I155" t="s">
        <v>1971</v>
      </c>
    </row>
    <row r="156" spans="2:9" x14ac:dyDescent="0.25">
      <c r="B156" t="s">
        <v>1979</v>
      </c>
      <c r="C156" t="s">
        <v>20</v>
      </c>
      <c r="D156" t="s">
        <v>459</v>
      </c>
      <c r="E156" t="s">
        <v>460</v>
      </c>
      <c r="F156">
        <v>100</v>
      </c>
      <c r="G156" t="s">
        <v>2153</v>
      </c>
      <c r="H156" t="s">
        <v>1643</v>
      </c>
      <c r="I156" t="s">
        <v>1971</v>
      </c>
    </row>
    <row r="157" spans="2:9" x14ac:dyDescent="0.25">
      <c r="B157" t="s">
        <v>1979</v>
      </c>
      <c r="C157" t="s">
        <v>20</v>
      </c>
      <c r="D157" t="s">
        <v>459</v>
      </c>
      <c r="E157" t="s">
        <v>460</v>
      </c>
      <c r="F157">
        <v>1000</v>
      </c>
      <c r="G157" t="s">
        <v>2154</v>
      </c>
      <c r="H157" t="s">
        <v>1632</v>
      </c>
      <c r="I157" t="s">
        <v>1971</v>
      </c>
    </row>
    <row r="158" spans="2:9" x14ac:dyDescent="0.25">
      <c r="B158" t="s">
        <v>1979</v>
      </c>
      <c r="C158" t="s">
        <v>20</v>
      </c>
      <c r="D158" t="s">
        <v>459</v>
      </c>
      <c r="E158" t="s">
        <v>460</v>
      </c>
      <c r="F158">
        <v>40</v>
      </c>
      <c r="G158" t="s">
        <v>2155</v>
      </c>
      <c r="H158" t="s">
        <v>1640</v>
      </c>
      <c r="I158" t="s">
        <v>1971</v>
      </c>
    </row>
    <row r="159" spans="2:9" x14ac:dyDescent="0.25">
      <c r="B159" t="s">
        <v>1979</v>
      </c>
      <c r="C159" t="s">
        <v>20</v>
      </c>
      <c r="D159" t="s">
        <v>459</v>
      </c>
      <c r="E159" t="s">
        <v>460</v>
      </c>
      <c r="F159">
        <v>40</v>
      </c>
      <c r="G159" t="s">
        <v>2103</v>
      </c>
      <c r="H159" t="s">
        <v>1640</v>
      </c>
      <c r="I159" t="s">
        <v>1971</v>
      </c>
    </row>
    <row r="160" spans="2:9" x14ac:dyDescent="0.25">
      <c r="B160" t="s">
        <v>1979</v>
      </c>
      <c r="C160" t="s">
        <v>20</v>
      </c>
      <c r="D160" t="s">
        <v>459</v>
      </c>
      <c r="E160" t="s">
        <v>460</v>
      </c>
      <c r="F160">
        <v>40</v>
      </c>
      <c r="G160" t="s">
        <v>2033</v>
      </c>
      <c r="H160" t="s">
        <v>1640</v>
      </c>
      <c r="I160" t="s">
        <v>1971</v>
      </c>
    </row>
    <row r="161" spans="2:9" x14ac:dyDescent="0.25">
      <c r="B161" t="s">
        <v>1979</v>
      </c>
      <c r="C161" t="s">
        <v>20</v>
      </c>
      <c r="D161" t="s">
        <v>459</v>
      </c>
      <c r="E161" t="s">
        <v>460</v>
      </c>
      <c r="F161">
        <v>40</v>
      </c>
      <c r="G161" t="s">
        <v>1990</v>
      </c>
      <c r="H161" t="s">
        <v>1614</v>
      </c>
      <c r="I161" t="s">
        <v>1971</v>
      </c>
    </row>
    <row r="162" spans="2:9" x14ac:dyDescent="0.25">
      <c r="B162" t="s">
        <v>1979</v>
      </c>
      <c r="C162" t="s">
        <v>20</v>
      </c>
      <c r="D162" t="s">
        <v>459</v>
      </c>
      <c r="E162" t="s">
        <v>460</v>
      </c>
      <c r="F162">
        <v>200</v>
      </c>
      <c r="G162" t="s">
        <v>2077</v>
      </c>
      <c r="H162" t="s">
        <v>1775</v>
      </c>
      <c r="I162" t="s">
        <v>1971</v>
      </c>
    </row>
    <row r="163" spans="2:9" x14ac:dyDescent="0.25">
      <c r="B163" t="s">
        <v>1979</v>
      </c>
      <c r="C163" t="s">
        <v>20</v>
      </c>
      <c r="D163" t="s">
        <v>459</v>
      </c>
      <c r="E163" t="s">
        <v>460</v>
      </c>
      <c r="F163">
        <v>400</v>
      </c>
      <c r="G163" t="s">
        <v>2156</v>
      </c>
      <c r="H163" t="s">
        <v>1775</v>
      </c>
      <c r="I163" t="s">
        <v>1971</v>
      </c>
    </row>
    <row r="164" spans="2:9" x14ac:dyDescent="0.25">
      <c r="B164" t="s">
        <v>1979</v>
      </c>
      <c r="C164" t="s">
        <v>20</v>
      </c>
      <c r="D164" t="s">
        <v>459</v>
      </c>
      <c r="E164" t="s">
        <v>460</v>
      </c>
      <c r="F164">
        <v>20</v>
      </c>
      <c r="G164" t="s">
        <v>2038</v>
      </c>
      <c r="H164" t="s">
        <v>1660</v>
      </c>
      <c r="I164" t="s">
        <v>1971</v>
      </c>
    </row>
    <row r="165" spans="2:9" x14ac:dyDescent="0.25">
      <c r="B165" t="s">
        <v>1979</v>
      </c>
      <c r="C165" t="s">
        <v>20</v>
      </c>
      <c r="D165" t="s">
        <v>459</v>
      </c>
      <c r="E165" t="s">
        <v>460</v>
      </c>
      <c r="F165">
        <v>60</v>
      </c>
      <c r="G165" t="s">
        <v>2038</v>
      </c>
      <c r="H165" t="s">
        <v>1660</v>
      </c>
      <c r="I165" t="s">
        <v>1971</v>
      </c>
    </row>
    <row r="166" spans="2:9" x14ac:dyDescent="0.25">
      <c r="B166" t="s">
        <v>1979</v>
      </c>
      <c r="C166" t="s">
        <v>20</v>
      </c>
      <c r="D166" t="s">
        <v>459</v>
      </c>
      <c r="E166" t="s">
        <v>460</v>
      </c>
      <c r="F166">
        <v>60</v>
      </c>
      <c r="G166" t="s">
        <v>2038</v>
      </c>
      <c r="H166" t="s">
        <v>1660</v>
      </c>
      <c r="I166" t="s">
        <v>1971</v>
      </c>
    </row>
    <row r="167" spans="2:9" x14ac:dyDescent="0.25">
      <c r="B167" t="s">
        <v>1979</v>
      </c>
      <c r="C167" t="s">
        <v>20</v>
      </c>
      <c r="D167" t="s">
        <v>459</v>
      </c>
      <c r="E167" t="s">
        <v>460</v>
      </c>
      <c r="F167">
        <v>160</v>
      </c>
      <c r="G167" t="s">
        <v>2038</v>
      </c>
      <c r="H167" t="s">
        <v>1660</v>
      </c>
      <c r="I167" t="s">
        <v>1971</v>
      </c>
    </row>
    <row r="168" spans="2:9" x14ac:dyDescent="0.25">
      <c r="B168" t="s">
        <v>1979</v>
      </c>
      <c r="C168" t="s">
        <v>20</v>
      </c>
      <c r="D168" t="s">
        <v>459</v>
      </c>
      <c r="E168" t="s">
        <v>460</v>
      </c>
      <c r="F168">
        <v>700</v>
      </c>
      <c r="G168" t="s">
        <v>2157</v>
      </c>
      <c r="H168" t="s">
        <v>1756</v>
      </c>
      <c r="I168" t="s">
        <v>1971</v>
      </c>
    </row>
    <row r="169" spans="2:9" x14ac:dyDescent="0.25">
      <c r="B169" t="s">
        <v>1979</v>
      </c>
      <c r="C169" t="s">
        <v>20</v>
      </c>
      <c r="D169" t="s">
        <v>459</v>
      </c>
      <c r="E169" t="s">
        <v>460</v>
      </c>
      <c r="F169">
        <v>300</v>
      </c>
      <c r="G169" t="s">
        <v>2158</v>
      </c>
      <c r="H169" t="s">
        <v>1756</v>
      </c>
      <c r="I169" t="s">
        <v>1971</v>
      </c>
    </row>
    <row r="170" spans="2:9" x14ac:dyDescent="0.25">
      <c r="B170" t="s">
        <v>1979</v>
      </c>
      <c r="C170" t="s">
        <v>20</v>
      </c>
      <c r="D170" t="s">
        <v>459</v>
      </c>
      <c r="E170" t="s">
        <v>460</v>
      </c>
      <c r="F170">
        <v>1000</v>
      </c>
      <c r="G170" t="s">
        <v>2159</v>
      </c>
      <c r="H170" t="s">
        <v>1756</v>
      </c>
      <c r="I170" t="s">
        <v>1971</v>
      </c>
    </row>
    <row r="171" spans="2:9" x14ac:dyDescent="0.25">
      <c r="B171" t="s">
        <v>1979</v>
      </c>
      <c r="C171" t="s">
        <v>20</v>
      </c>
      <c r="D171" t="s">
        <v>459</v>
      </c>
      <c r="E171" t="s">
        <v>460</v>
      </c>
      <c r="F171">
        <v>60</v>
      </c>
      <c r="G171" t="s">
        <v>2160</v>
      </c>
      <c r="H171" t="s">
        <v>1867</v>
      </c>
      <c r="I171" t="s">
        <v>1971</v>
      </c>
    </row>
    <row r="172" spans="2:9" x14ac:dyDescent="0.25">
      <c r="B172" t="s">
        <v>1979</v>
      </c>
      <c r="C172" t="s">
        <v>20</v>
      </c>
      <c r="D172" t="s">
        <v>459</v>
      </c>
      <c r="E172" t="s">
        <v>460</v>
      </c>
      <c r="F172">
        <v>100</v>
      </c>
      <c r="G172" t="s">
        <v>2161</v>
      </c>
      <c r="H172" t="s">
        <v>1867</v>
      </c>
      <c r="I172" t="s">
        <v>1971</v>
      </c>
    </row>
    <row r="173" spans="2:9" x14ac:dyDescent="0.25">
      <c r="B173" t="s">
        <v>1979</v>
      </c>
      <c r="C173" t="s">
        <v>20</v>
      </c>
      <c r="D173" t="s">
        <v>459</v>
      </c>
      <c r="E173" t="s">
        <v>460</v>
      </c>
      <c r="F173">
        <v>600</v>
      </c>
      <c r="G173" t="s">
        <v>2150</v>
      </c>
      <c r="H173" t="s">
        <v>1672</v>
      </c>
      <c r="I173" t="s">
        <v>1971</v>
      </c>
    </row>
    <row r="174" spans="2:9" x14ac:dyDescent="0.25">
      <c r="B174" t="s">
        <v>1979</v>
      </c>
      <c r="C174" t="s">
        <v>20</v>
      </c>
      <c r="D174" t="s">
        <v>459</v>
      </c>
      <c r="E174" t="s">
        <v>460</v>
      </c>
      <c r="F174">
        <v>360</v>
      </c>
      <c r="G174" t="s">
        <v>2162</v>
      </c>
      <c r="H174" t="s">
        <v>1751</v>
      </c>
      <c r="I174" t="s">
        <v>1971</v>
      </c>
    </row>
    <row r="175" spans="2:9" x14ac:dyDescent="0.25">
      <c r="B175" t="s">
        <v>1979</v>
      </c>
      <c r="C175" t="s">
        <v>20</v>
      </c>
      <c r="D175" t="s">
        <v>459</v>
      </c>
      <c r="E175" t="s">
        <v>460</v>
      </c>
      <c r="F175">
        <v>180</v>
      </c>
      <c r="G175" t="s">
        <v>2163</v>
      </c>
      <c r="H175" t="s">
        <v>1751</v>
      </c>
      <c r="I175" t="s">
        <v>1971</v>
      </c>
    </row>
    <row r="176" spans="2:9" x14ac:dyDescent="0.25">
      <c r="B176" t="s">
        <v>1979</v>
      </c>
      <c r="C176" t="s">
        <v>20</v>
      </c>
      <c r="D176" t="s">
        <v>459</v>
      </c>
      <c r="E176" t="s">
        <v>460</v>
      </c>
      <c r="F176">
        <v>20</v>
      </c>
      <c r="G176" t="s">
        <v>2036</v>
      </c>
      <c r="H176" t="s">
        <v>1751</v>
      </c>
      <c r="I176" t="s">
        <v>1971</v>
      </c>
    </row>
    <row r="177" spans="2:9" x14ac:dyDescent="0.25">
      <c r="B177" t="s">
        <v>1979</v>
      </c>
      <c r="C177" t="s">
        <v>20</v>
      </c>
      <c r="D177" t="s">
        <v>459</v>
      </c>
      <c r="E177" t="s">
        <v>460</v>
      </c>
      <c r="F177">
        <v>220</v>
      </c>
      <c r="G177" t="s">
        <v>2041</v>
      </c>
      <c r="H177" t="s">
        <v>1751</v>
      </c>
      <c r="I177" t="s">
        <v>1971</v>
      </c>
    </row>
    <row r="178" spans="2:9" x14ac:dyDescent="0.25">
      <c r="B178" t="s">
        <v>1979</v>
      </c>
      <c r="C178" t="s">
        <v>20</v>
      </c>
      <c r="D178" t="s">
        <v>459</v>
      </c>
      <c r="E178" t="s">
        <v>460</v>
      </c>
      <c r="F178">
        <v>580</v>
      </c>
      <c r="G178" t="s">
        <v>2041</v>
      </c>
      <c r="H178" t="s">
        <v>1751</v>
      </c>
      <c r="I178" t="s">
        <v>1971</v>
      </c>
    </row>
    <row r="179" spans="2:9" x14ac:dyDescent="0.25">
      <c r="B179" t="s">
        <v>1979</v>
      </c>
      <c r="C179" t="s">
        <v>20</v>
      </c>
      <c r="D179" t="s">
        <v>459</v>
      </c>
      <c r="E179" t="s">
        <v>460</v>
      </c>
      <c r="F179">
        <v>1000</v>
      </c>
      <c r="G179" t="s">
        <v>2164</v>
      </c>
      <c r="H179" t="s">
        <v>1718</v>
      </c>
      <c r="I179" t="s">
        <v>1971</v>
      </c>
    </row>
    <row r="180" spans="2:9" x14ac:dyDescent="0.25">
      <c r="B180" t="s">
        <v>1979</v>
      </c>
      <c r="C180" t="s">
        <v>20</v>
      </c>
      <c r="D180" t="s">
        <v>588</v>
      </c>
      <c r="E180" t="s">
        <v>589</v>
      </c>
      <c r="F180">
        <v>120</v>
      </c>
      <c r="G180" t="s">
        <v>2035</v>
      </c>
      <c r="H180" t="s">
        <v>1712</v>
      </c>
      <c r="I180" t="s">
        <v>1971</v>
      </c>
    </row>
    <row r="181" spans="2:9" x14ac:dyDescent="0.25">
      <c r="B181" t="s">
        <v>1979</v>
      </c>
      <c r="C181" t="s">
        <v>25</v>
      </c>
      <c r="D181" t="s">
        <v>470</v>
      </c>
      <c r="E181" t="s">
        <v>471</v>
      </c>
      <c r="F181">
        <v>108</v>
      </c>
      <c r="G181" t="s">
        <v>2174</v>
      </c>
      <c r="H181" t="s">
        <v>1627</v>
      </c>
      <c r="I181" t="s">
        <v>1971</v>
      </c>
    </row>
    <row r="182" spans="2:9" x14ac:dyDescent="0.25">
      <c r="B182" t="s">
        <v>1979</v>
      </c>
      <c r="C182" t="s">
        <v>25</v>
      </c>
      <c r="D182" t="s">
        <v>470</v>
      </c>
      <c r="E182" t="s">
        <v>471</v>
      </c>
      <c r="F182">
        <v>2</v>
      </c>
      <c r="G182" t="s">
        <v>2036</v>
      </c>
      <c r="H182" t="s">
        <v>1751</v>
      </c>
      <c r="I182" t="s">
        <v>1971</v>
      </c>
    </row>
    <row r="183" spans="2:9" x14ac:dyDescent="0.25">
      <c r="B183" t="s">
        <v>1979</v>
      </c>
      <c r="C183" t="s">
        <v>25</v>
      </c>
      <c r="D183" t="s">
        <v>470</v>
      </c>
      <c r="E183" t="s">
        <v>471</v>
      </c>
      <c r="F183">
        <v>48</v>
      </c>
      <c r="G183" t="s">
        <v>2170</v>
      </c>
      <c r="H183" t="s">
        <v>1718</v>
      </c>
      <c r="I183" t="s">
        <v>1971</v>
      </c>
    </row>
    <row r="184" spans="2:9" x14ac:dyDescent="0.25">
      <c r="B184" t="s">
        <v>1979</v>
      </c>
      <c r="C184" t="s">
        <v>25</v>
      </c>
      <c r="D184" t="s">
        <v>470</v>
      </c>
      <c r="E184" t="s">
        <v>471</v>
      </c>
      <c r="F184">
        <v>53</v>
      </c>
      <c r="G184" t="s">
        <v>2544</v>
      </c>
      <c r="H184" t="s">
        <v>1742</v>
      </c>
      <c r="I184" t="s">
        <v>1971</v>
      </c>
    </row>
    <row r="185" spans="2:9" x14ac:dyDescent="0.25">
      <c r="B185" t="s">
        <v>1979</v>
      </c>
      <c r="C185" t="s">
        <v>25</v>
      </c>
      <c r="D185" t="s">
        <v>470</v>
      </c>
      <c r="E185" t="s">
        <v>471</v>
      </c>
      <c r="F185">
        <v>11</v>
      </c>
      <c r="G185" t="s">
        <v>2544</v>
      </c>
      <c r="H185" t="s">
        <v>1742</v>
      </c>
      <c r="I185" t="s">
        <v>1971</v>
      </c>
    </row>
    <row r="186" spans="2:9" x14ac:dyDescent="0.25">
      <c r="B186" t="s">
        <v>1979</v>
      </c>
      <c r="C186" t="s">
        <v>40</v>
      </c>
      <c r="D186" t="s">
        <v>41</v>
      </c>
      <c r="E186" t="s">
        <v>42</v>
      </c>
      <c r="F186">
        <v>300</v>
      </c>
      <c r="G186" t="s">
        <v>2194</v>
      </c>
      <c r="H186" t="s">
        <v>2148</v>
      </c>
      <c r="I186" t="s">
        <v>1971</v>
      </c>
    </row>
    <row r="187" spans="2:9" x14ac:dyDescent="0.25">
      <c r="B187" t="s">
        <v>1979</v>
      </c>
      <c r="C187" t="s">
        <v>40</v>
      </c>
      <c r="D187" t="s">
        <v>41</v>
      </c>
      <c r="E187" t="s">
        <v>42</v>
      </c>
      <c r="F187">
        <v>60</v>
      </c>
      <c r="G187" t="s">
        <v>1997</v>
      </c>
      <c r="H187" t="s">
        <v>1815</v>
      </c>
      <c r="I187" t="s">
        <v>1971</v>
      </c>
    </row>
    <row r="188" spans="2:9" x14ac:dyDescent="0.25">
      <c r="B188" t="s">
        <v>1979</v>
      </c>
      <c r="C188" t="s">
        <v>40</v>
      </c>
      <c r="D188" t="s">
        <v>41</v>
      </c>
      <c r="E188" t="s">
        <v>42</v>
      </c>
      <c r="F188">
        <v>84</v>
      </c>
      <c r="G188" t="s">
        <v>2176</v>
      </c>
      <c r="H188" t="s">
        <v>1653</v>
      </c>
      <c r="I188" t="s">
        <v>1971</v>
      </c>
    </row>
    <row r="189" spans="2:9" x14ac:dyDescent="0.25">
      <c r="B189" t="s">
        <v>1979</v>
      </c>
      <c r="C189" t="s">
        <v>40</v>
      </c>
      <c r="D189" t="s">
        <v>41</v>
      </c>
      <c r="E189" t="s">
        <v>42</v>
      </c>
      <c r="F189">
        <v>200</v>
      </c>
      <c r="G189" t="s">
        <v>2189</v>
      </c>
      <c r="H189" t="s">
        <v>1629</v>
      </c>
      <c r="I189" t="s">
        <v>1971</v>
      </c>
    </row>
    <row r="190" spans="2:9" x14ac:dyDescent="0.25">
      <c r="B190" t="s">
        <v>1979</v>
      </c>
      <c r="C190" t="s">
        <v>40</v>
      </c>
      <c r="D190" t="s">
        <v>41</v>
      </c>
      <c r="E190" t="s">
        <v>42</v>
      </c>
      <c r="F190">
        <v>120</v>
      </c>
      <c r="G190" t="s">
        <v>2150</v>
      </c>
      <c r="H190" t="s">
        <v>1672</v>
      </c>
      <c r="I190" t="s">
        <v>1971</v>
      </c>
    </row>
    <row r="191" spans="2:9" x14ac:dyDescent="0.25">
      <c r="B191" t="s">
        <v>1979</v>
      </c>
      <c r="C191" t="s">
        <v>40</v>
      </c>
      <c r="D191" t="s">
        <v>41</v>
      </c>
      <c r="E191" t="s">
        <v>42</v>
      </c>
      <c r="F191">
        <v>96</v>
      </c>
      <c r="G191" t="s">
        <v>2195</v>
      </c>
      <c r="H191" t="s">
        <v>1956</v>
      </c>
      <c r="I191" t="s">
        <v>1971</v>
      </c>
    </row>
    <row r="192" spans="2:9" x14ac:dyDescent="0.25">
      <c r="B192" t="s">
        <v>1979</v>
      </c>
      <c r="C192" t="s">
        <v>40</v>
      </c>
      <c r="D192" t="s">
        <v>41</v>
      </c>
      <c r="E192" t="s">
        <v>42</v>
      </c>
      <c r="F192">
        <v>72</v>
      </c>
      <c r="G192" t="s">
        <v>2121</v>
      </c>
      <c r="H192" t="s">
        <v>1840</v>
      </c>
      <c r="I192" t="s">
        <v>1971</v>
      </c>
    </row>
    <row r="193" spans="2:9" x14ac:dyDescent="0.25">
      <c r="B193" t="s">
        <v>1979</v>
      </c>
      <c r="C193" t="s">
        <v>40</v>
      </c>
      <c r="D193" t="s">
        <v>41</v>
      </c>
      <c r="E193" t="s">
        <v>42</v>
      </c>
      <c r="F193">
        <v>60</v>
      </c>
      <c r="G193" t="s">
        <v>2171</v>
      </c>
      <c r="H193" t="s">
        <v>1663</v>
      </c>
      <c r="I193" t="s">
        <v>1971</v>
      </c>
    </row>
    <row r="194" spans="2:9" x14ac:dyDescent="0.25">
      <c r="B194" t="s">
        <v>1979</v>
      </c>
      <c r="C194" t="s">
        <v>40</v>
      </c>
      <c r="D194" t="s">
        <v>41</v>
      </c>
      <c r="E194" t="s">
        <v>42</v>
      </c>
      <c r="F194">
        <v>108</v>
      </c>
      <c r="G194" t="s">
        <v>2192</v>
      </c>
      <c r="H194" t="s">
        <v>1627</v>
      </c>
      <c r="I194" t="s">
        <v>1971</v>
      </c>
    </row>
    <row r="195" spans="2:9" x14ac:dyDescent="0.25">
      <c r="B195" t="s">
        <v>1979</v>
      </c>
      <c r="C195" t="s">
        <v>40</v>
      </c>
      <c r="D195" t="s">
        <v>41</v>
      </c>
      <c r="E195" t="s">
        <v>42</v>
      </c>
      <c r="F195">
        <v>360</v>
      </c>
      <c r="G195" t="s">
        <v>1999</v>
      </c>
      <c r="H195" t="s">
        <v>1867</v>
      </c>
      <c r="I195" t="s">
        <v>1971</v>
      </c>
    </row>
    <row r="196" spans="2:9" x14ac:dyDescent="0.25">
      <c r="B196" t="s">
        <v>1979</v>
      </c>
      <c r="C196" t="s">
        <v>40</v>
      </c>
      <c r="D196" t="s">
        <v>41</v>
      </c>
      <c r="E196" t="s">
        <v>42</v>
      </c>
      <c r="F196">
        <v>120</v>
      </c>
      <c r="G196" t="s">
        <v>2168</v>
      </c>
      <c r="H196" t="s">
        <v>1867</v>
      </c>
      <c r="I196" t="s">
        <v>1971</v>
      </c>
    </row>
    <row r="197" spans="2:9" x14ac:dyDescent="0.25">
      <c r="B197" t="s">
        <v>1979</v>
      </c>
      <c r="C197" t="s">
        <v>49</v>
      </c>
      <c r="D197" t="s">
        <v>50</v>
      </c>
      <c r="E197" t="s">
        <v>51</v>
      </c>
      <c r="F197">
        <v>7390</v>
      </c>
      <c r="G197" t="s">
        <v>2196</v>
      </c>
      <c r="H197" t="s">
        <v>1629</v>
      </c>
      <c r="I197" t="s">
        <v>1971</v>
      </c>
    </row>
    <row r="198" spans="2:9" x14ac:dyDescent="0.25">
      <c r="B198" t="s">
        <v>1979</v>
      </c>
      <c r="C198" t="s">
        <v>49</v>
      </c>
      <c r="D198" t="s">
        <v>50</v>
      </c>
      <c r="E198" t="s">
        <v>51</v>
      </c>
      <c r="F198">
        <v>530</v>
      </c>
      <c r="G198" t="s">
        <v>2197</v>
      </c>
      <c r="H198" t="s">
        <v>1629</v>
      </c>
      <c r="I198" t="s">
        <v>1971</v>
      </c>
    </row>
    <row r="199" spans="2:9" x14ac:dyDescent="0.25">
      <c r="B199" t="s">
        <v>1979</v>
      </c>
      <c r="C199" t="s">
        <v>49</v>
      </c>
      <c r="D199" t="s">
        <v>50</v>
      </c>
      <c r="E199" t="s">
        <v>51</v>
      </c>
      <c r="F199">
        <v>980</v>
      </c>
      <c r="G199" t="s">
        <v>2198</v>
      </c>
      <c r="H199" t="s">
        <v>1629</v>
      </c>
      <c r="I199" t="s">
        <v>1971</v>
      </c>
    </row>
    <row r="200" spans="2:9" x14ac:dyDescent="0.25">
      <c r="B200" t="s">
        <v>1979</v>
      </c>
      <c r="C200" t="s">
        <v>49</v>
      </c>
      <c r="D200" t="s">
        <v>50</v>
      </c>
      <c r="E200" t="s">
        <v>51</v>
      </c>
      <c r="F200">
        <v>85</v>
      </c>
      <c r="G200" t="s">
        <v>2198</v>
      </c>
      <c r="H200" t="s">
        <v>1629</v>
      </c>
      <c r="I200" t="s">
        <v>1971</v>
      </c>
    </row>
    <row r="201" spans="2:9" x14ac:dyDescent="0.25">
      <c r="B201" t="s">
        <v>1979</v>
      </c>
      <c r="C201" t="s">
        <v>49</v>
      </c>
      <c r="D201" t="s">
        <v>50</v>
      </c>
      <c r="E201" t="s">
        <v>51</v>
      </c>
      <c r="F201">
        <v>35</v>
      </c>
      <c r="G201" t="s">
        <v>2198</v>
      </c>
      <c r="H201" t="s">
        <v>1629</v>
      </c>
      <c r="I201" t="s">
        <v>1971</v>
      </c>
    </row>
    <row r="202" spans="2:9" x14ac:dyDescent="0.25">
      <c r="B202" t="s">
        <v>1979</v>
      </c>
      <c r="C202" t="s">
        <v>49</v>
      </c>
      <c r="D202" t="s">
        <v>50</v>
      </c>
      <c r="E202" t="s">
        <v>51</v>
      </c>
      <c r="F202">
        <v>20</v>
      </c>
      <c r="G202" t="s">
        <v>2198</v>
      </c>
      <c r="H202" t="s">
        <v>1629</v>
      </c>
      <c r="I202" t="s">
        <v>1971</v>
      </c>
    </row>
    <row r="203" spans="2:9" x14ac:dyDescent="0.25">
      <c r="B203" t="s">
        <v>1979</v>
      </c>
      <c r="C203" t="s">
        <v>49</v>
      </c>
      <c r="D203" t="s">
        <v>50</v>
      </c>
      <c r="E203" t="s">
        <v>51</v>
      </c>
      <c r="F203">
        <v>5100</v>
      </c>
      <c r="G203" t="s">
        <v>2199</v>
      </c>
      <c r="H203" t="s">
        <v>1712</v>
      </c>
      <c r="I203" t="s">
        <v>1971</v>
      </c>
    </row>
    <row r="204" spans="2:9" x14ac:dyDescent="0.25">
      <c r="B204" t="s">
        <v>1979</v>
      </c>
      <c r="C204" t="s">
        <v>49</v>
      </c>
      <c r="D204" t="s">
        <v>50</v>
      </c>
      <c r="E204" t="s">
        <v>51</v>
      </c>
      <c r="F204">
        <v>4985</v>
      </c>
      <c r="G204" t="s">
        <v>2200</v>
      </c>
      <c r="H204" t="s">
        <v>1870</v>
      </c>
      <c r="I204" t="s">
        <v>1971</v>
      </c>
    </row>
    <row r="205" spans="2:9" x14ac:dyDescent="0.25">
      <c r="B205" t="s">
        <v>1979</v>
      </c>
      <c r="C205" t="s">
        <v>49</v>
      </c>
      <c r="D205" t="s">
        <v>50</v>
      </c>
      <c r="E205" t="s">
        <v>51</v>
      </c>
      <c r="F205">
        <v>975</v>
      </c>
      <c r="G205" t="s">
        <v>2200</v>
      </c>
      <c r="H205" t="s">
        <v>1870</v>
      </c>
      <c r="I205" t="s">
        <v>1971</v>
      </c>
    </row>
    <row r="206" spans="2:9" x14ac:dyDescent="0.25">
      <c r="B206" t="s">
        <v>1979</v>
      </c>
      <c r="C206" t="s">
        <v>49</v>
      </c>
      <c r="D206" t="s">
        <v>50</v>
      </c>
      <c r="E206" t="s">
        <v>51</v>
      </c>
      <c r="F206">
        <v>8560</v>
      </c>
      <c r="G206" t="s">
        <v>2200</v>
      </c>
      <c r="H206" t="s">
        <v>1870</v>
      </c>
      <c r="I206" t="s">
        <v>1971</v>
      </c>
    </row>
    <row r="207" spans="2:9" x14ac:dyDescent="0.25">
      <c r="B207" t="s">
        <v>1979</v>
      </c>
      <c r="C207" t="s">
        <v>49</v>
      </c>
      <c r="D207" t="s">
        <v>50</v>
      </c>
      <c r="E207" t="s">
        <v>51</v>
      </c>
      <c r="F207">
        <v>1235</v>
      </c>
      <c r="G207" t="s">
        <v>2201</v>
      </c>
      <c r="H207" t="s">
        <v>1646</v>
      </c>
      <c r="I207" t="s">
        <v>1971</v>
      </c>
    </row>
    <row r="208" spans="2:9" x14ac:dyDescent="0.25">
      <c r="B208" t="s">
        <v>1979</v>
      </c>
      <c r="C208" t="s">
        <v>49</v>
      </c>
      <c r="D208" t="s">
        <v>50</v>
      </c>
      <c r="E208" t="s">
        <v>51</v>
      </c>
      <c r="F208">
        <v>3200</v>
      </c>
      <c r="G208" t="s">
        <v>2201</v>
      </c>
      <c r="H208" t="s">
        <v>1646</v>
      </c>
      <c r="I208" t="s">
        <v>1971</v>
      </c>
    </row>
    <row r="209" spans="2:9" x14ac:dyDescent="0.25">
      <c r="B209" t="s">
        <v>1979</v>
      </c>
      <c r="C209" t="s">
        <v>49</v>
      </c>
      <c r="D209" t="s">
        <v>50</v>
      </c>
      <c r="E209" t="s">
        <v>51</v>
      </c>
      <c r="F209">
        <v>4800</v>
      </c>
      <c r="G209" t="s">
        <v>2199</v>
      </c>
      <c r="H209" t="s">
        <v>1712</v>
      </c>
      <c r="I209" t="s">
        <v>1971</v>
      </c>
    </row>
    <row r="210" spans="2:9" x14ac:dyDescent="0.25">
      <c r="B210" t="s">
        <v>1979</v>
      </c>
      <c r="C210" t="s">
        <v>120</v>
      </c>
      <c r="D210" t="s">
        <v>834</v>
      </c>
      <c r="E210" t="s">
        <v>835</v>
      </c>
      <c r="F210">
        <v>100</v>
      </c>
      <c r="G210" t="s">
        <v>2043</v>
      </c>
      <c r="H210" t="s">
        <v>1746</v>
      </c>
      <c r="I210" t="s">
        <v>1971</v>
      </c>
    </row>
    <row r="211" spans="2:9" x14ac:dyDescent="0.25">
      <c r="B211" t="s">
        <v>1979</v>
      </c>
      <c r="C211" t="s">
        <v>120</v>
      </c>
      <c r="D211" t="s">
        <v>834</v>
      </c>
      <c r="E211" t="s">
        <v>835</v>
      </c>
      <c r="F211">
        <v>200</v>
      </c>
      <c r="G211" t="s">
        <v>1999</v>
      </c>
      <c r="H211" t="s">
        <v>1867</v>
      </c>
      <c r="I211" t="s">
        <v>1971</v>
      </c>
    </row>
    <row r="212" spans="2:9" x14ac:dyDescent="0.25">
      <c r="B212" t="s">
        <v>1979</v>
      </c>
      <c r="C212" t="s">
        <v>120</v>
      </c>
      <c r="D212" t="s">
        <v>834</v>
      </c>
      <c r="E212" t="s">
        <v>835</v>
      </c>
      <c r="F212">
        <v>1000</v>
      </c>
      <c r="G212" t="s">
        <v>1995</v>
      </c>
      <c r="H212" t="s">
        <v>1672</v>
      </c>
      <c r="I212" t="s">
        <v>1971</v>
      </c>
    </row>
    <row r="213" spans="2:9" x14ac:dyDescent="0.25">
      <c r="B213" t="s">
        <v>1979</v>
      </c>
      <c r="C213" t="s">
        <v>120</v>
      </c>
      <c r="D213" t="s">
        <v>834</v>
      </c>
      <c r="E213" t="s">
        <v>835</v>
      </c>
      <c r="F213">
        <v>70</v>
      </c>
      <c r="G213" t="s">
        <v>2074</v>
      </c>
      <c r="H213" t="s">
        <v>1672</v>
      </c>
      <c r="I213" t="s">
        <v>1971</v>
      </c>
    </row>
    <row r="214" spans="2:9" x14ac:dyDescent="0.25">
      <c r="B214" t="s">
        <v>1979</v>
      </c>
      <c r="C214" t="s">
        <v>120</v>
      </c>
      <c r="D214" t="s">
        <v>834</v>
      </c>
      <c r="E214" t="s">
        <v>835</v>
      </c>
      <c r="F214">
        <v>130</v>
      </c>
      <c r="G214" t="s">
        <v>2074</v>
      </c>
      <c r="H214" t="s">
        <v>1672</v>
      </c>
      <c r="I214" t="s">
        <v>1971</v>
      </c>
    </row>
    <row r="215" spans="2:9" x14ac:dyDescent="0.25">
      <c r="B215" t="s">
        <v>1979</v>
      </c>
      <c r="C215" t="s">
        <v>120</v>
      </c>
      <c r="D215" t="s">
        <v>834</v>
      </c>
      <c r="E215" t="s">
        <v>835</v>
      </c>
      <c r="F215">
        <v>50</v>
      </c>
      <c r="G215" t="s">
        <v>2202</v>
      </c>
      <c r="H215" t="s">
        <v>1660</v>
      </c>
      <c r="I215" t="s">
        <v>1971</v>
      </c>
    </row>
    <row r="216" spans="2:9" x14ac:dyDescent="0.25">
      <c r="B216" t="s">
        <v>1979</v>
      </c>
      <c r="C216" t="s">
        <v>120</v>
      </c>
      <c r="D216" t="s">
        <v>834</v>
      </c>
      <c r="E216" t="s">
        <v>835</v>
      </c>
      <c r="F216">
        <v>80</v>
      </c>
      <c r="G216" t="s">
        <v>2075</v>
      </c>
      <c r="H216" t="s">
        <v>1654</v>
      </c>
      <c r="I216" t="s">
        <v>1971</v>
      </c>
    </row>
    <row r="217" spans="2:9" x14ac:dyDescent="0.25">
      <c r="B217" t="s">
        <v>1979</v>
      </c>
      <c r="C217" t="s">
        <v>120</v>
      </c>
      <c r="D217" t="s">
        <v>834</v>
      </c>
      <c r="E217" t="s">
        <v>835</v>
      </c>
      <c r="F217">
        <v>70</v>
      </c>
      <c r="G217" t="s">
        <v>2075</v>
      </c>
      <c r="H217" t="s">
        <v>1654</v>
      </c>
      <c r="I217" t="s">
        <v>1971</v>
      </c>
    </row>
    <row r="218" spans="2:9" x14ac:dyDescent="0.25">
      <c r="B218" t="s">
        <v>1979</v>
      </c>
      <c r="C218" t="s">
        <v>120</v>
      </c>
      <c r="D218" t="s">
        <v>834</v>
      </c>
      <c r="E218" t="s">
        <v>835</v>
      </c>
      <c r="F218">
        <v>2000</v>
      </c>
      <c r="G218" t="s">
        <v>2000</v>
      </c>
      <c r="H218" t="s">
        <v>1622</v>
      </c>
      <c r="I218" t="s">
        <v>1971</v>
      </c>
    </row>
    <row r="219" spans="2:9" x14ac:dyDescent="0.25">
      <c r="B219" t="s">
        <v>1979</v>
      </c>
      <c r="C219" t="s">
        <v>120</v>
      </c>
      <c r="D219" t="s">
        <v>834</v>
      </c>
      <c r="E219" t="s">
        <v>835</v>
      </c>
      <c r="F219">
        <v>30</v>
      </c>
      <c r="G219" t="s">
        <v>2040</v>
      </c>
      <c r="H219" t="s">
        <v>1663</v>
      </c>
      <c r="I219" t="s">
        <v>1971</v>
      </c>
    </row>
    <row r="220" spans="2:9" x14ac:dyDescent="0.25">
      <c r="B220" t="s">
        <v>1979</v>
      </c>
      <c r="C220" t="s">
        <v>120</v>
      </c>
      <c r="D220" t="s">
        <v>834</v>
      </c>
      <c r="E220" t="s">
        <v>835</v>
      </c>
      <c r="F220">
        <v>5</v>
      </c>
      <c r="G220" t="s">
        <v>2040</v>
      </c>
      <c r="H220" t="s">
        <v>1663</v>
      </c>
      <c r="I220" t="s">
        <v>1971</v>
      </c>
    </row>
    <row r="221" spans="2:9" x14ac:dyDescent="0.25">
      <c r="B221" t="s">
        <v>1979</v>
      </c>
      <c r="C221" t="s">
        <v>120</v>
      </c>
      <c r="D221" t="s">
        <v>834</v>
      </c>
      <c r="E221" t="s">
        <v>835</v>
      </c>
      <c r="F221">
        <v>300</v>
      </c>
      <c r="G221" t="s">
        <v>1998</v>
      </c>
      <c r="H221" t="s">
        <v>1608</v>
      </c>
      <c r="I221" t="s">
        <v>1971</v>
      </c>
    </row>
    <row r="222" spans="2:9" x14ac:dyDescent="0.25">
      <c r="B222" t="s">
        <v>1979</v>
      </c>
      <c r="C222" t="s">
        <v>120</v>
      </c>
      <c r="D222" t="s">
        <v>834</v>
      </c>
      <c r="E222" t="s">
        <v>835</v>
      </c>
      <c r="F222">
        <v>200</v>
      </c>
      <c r="G222" t="s">
        <v>2039</v>
      </c>
      <c r="H222" t="s">
        <v>1616</v>
      </c>
      <c r="I222" t="s">
        <v>1971</v>
      </c>
    </row>
    <row r="223" spans="2:9" x14ac:dyDescent="0.25">
      <c r="B223" t="s">
        <v>1979</v>
      </c>
      <c r="C223" t="s">
        <v>120</v>
      </c>
      <c r="D223" t="s">
        <v>834</v>
      </c>
      <c r="E223" t="s">
        <v>835</v>
      </c>
      <c r="F223">
        <v>10</v>
      </c>
      <c r="G223" t="s">
        <v>2203</v>
      </c>
      <c r="H223" t="s">
        <v>1697</v>
      </c>
      <c r="I223" t="s">
        <v>1971</v>
      </c>
    </row>
    <row r="224" spans="2:9" x14ac:dyDescent="0.25">
      <c r="B224" t="s">
        <v>1979</v>
      </c>
      <c r="C224" t="s">
        <v>120</v>
      </c>
      <c r="D224" t="s">
        <v>834</v>
      </c>
      <c r="E224" t="s">
        <v>835</v>
      </c>
      <c r="F224">
        <v>20</v>
      </c>
      <c r="G224" t="s">
        <v>2204</v>
      </c>
      <c r="H224" t="s">
        <v>2110</v>
      </c>
      <c r="I224" t="s">
        <v>1971</v>
      </c>
    </row>
    <row r="225" spans="2:9" x14ac:dyDescent="0.25">
      <c r="B225" t="s">
        <v>1979</v>
      </c>
      <c r="C225" t="s">
        <v>120</v>
      </c>
      <c r="D225" t="s">
        <v>834</v>
      </c>
      <c r="E225" t="s">
        <v>835</v>
      </c>
      <c r="F225">
        <v>20</v>
      </c>
      <c r="G225" t="s">
        <v>2205</v>
      </c>
      <c r="H225" t="s">
        <v>2110</v>
      </c>
      <c r="I225" t="s">
        <v>1971</v>
      </c>
    </row>
    <row r="226" spans="2:9" x14ac:dyDescent="0.25">
      <c r="B226" t="s">
        <v>1979</v>
      </c>
      <c r="C226" t="s">
        <v>120</v>
      </c>
      <c r="D226" t="s">
        <v>834</v>
      </c>
      <c r="E226" t="s">
        <v>835</v>
      </c>
      <c r="F226">
        <v>20</v>
      </c>
      <c r="G226" t="s">
        <v>1988</v>
      </c>
      <c r="H226" t="s">
        <v>1806</v>
      </c>
      <c r="I226" t="s">
        <v>1971</v>
      </c>
    </row>
    <row r="227" spans="2:9" x14ac:dyDescent="0.25">
      <c r="B227" t="s">
        <v>1979</v>
      </c>
      <c r="C227" t="s">
        <v>120</v>
      </c>
      <c r="D227" t="s">
        <v>834</v>
      </c>
      <c r="E227" t="s">
        <v>835</v>
      </c>
      <c r="F227">
        <v>110</v>
      </c>
      <c r="G227" t="s">
        <v>2075</v>
      </c>
      <c r="H227" t="s">
        <v>1654</v>
      </c>
      <c r="I227" t="s">
        <v>1971</v>
      </c>
    </row>
    <row r="228" spans="2:9" x14ac:dyDescent="0.25">
      <c r="B228" t="s">
        <v>1979</v>
      </c>
      <c r="C228" t="s">
        <v>269</v>
      </c>
      <c r="D228" t="s">
        <v>270</v>
      </c>
      <c r="E228" t="s">
        <v>271</v>
      </c>
      <c r="F228">
        <v>450</v>
      </c>
      <c r="G228" t="s">
        <v>2050</v>
      </c>
      <c r="H228" t="s">
        <v>1984</v>
      </c>
      <c r="I228" t="s">
        <v>1971</v>
      </c>
    </row>
    <row r="229" spans="2:9" x14ac:dyDescent="0.25">
      <c r="B229" t="s">
        <v>1979</v>
      </c>
      <c r="C229" t="s">
        <v>269</v>
      </c>
      <c r="D229" t="s">
        <v>270</v>
      </c>
      <c r="E229" t="s">
        <v>271</v>
      </c>
      <c r="F229">
        <v>250</v>
      </c>
      <c r="G229" t="s">
        <v>1983</v>
      </c>
      <c r="H229" t="s">
        <v>1984</v>
      </c>
      <c r="I229" t="s">
        <v>1971</v>
      </c>
    </row>
    <row r="230" spans="2:9" x14ac:dyDescent="0.25">
      <c r="B230" t="s">
        <v>1979</v>
      </c>
      <c r="C230" t="s">
        <v>269</v>
      </c>
      <c r="D230" t="s">
        <v>270</v>
      </c>
      <c r="E230" t="s">
        <v>271</v>
      </c>
      <c r="F230">
        <v>375</v>
      </c>
      <c r="G230" t="s">
        <v>2014</v>
      </c>
      <c r="H230" t="s">
        <v>1632</v>
      </c>
      <c r="I230" t="s">
        <v>1971</v>
      </c>
    </row>
    <row r="231" spans="2:9" x14ac:dyDescent="0.25">
      <c r="B231" t="s">
        <v>1979</v>
      </c>
      <c r="C231" t="s">
        <v>269</v>
      </c>
      <c r="D231" t="s">
        <v>270</v>
      </c>
      <c r="E231" t="s">
        <v>271</v>
      </c>
      <c r="F231">
        <v>150</v>
      </c>
      <c r="G231" t="s">
        <v>2051</v>
      </c>
      <c r="H231" t="s">
        <v>1632</v>
      </c>
      <c r="I231" t="s">
        <v>1971</v>
      </c>
    </row>
    <row r="232" spans="2:9" x14ac:dyDescent="0.25">
      <c r="B232" t="s">
        <v>1979</v>
      </c>
      <c r="C232" t="s">
        <v>269</v>
      </c>
      <c r="D232" t="s">
        <v>270</v>
      </c>
      <c r="E232" t="s">
        <v>271</v>
      </c>
      <c r="F232">
        <v>150</v>
      </c>
      <c r="G232" t="s">
        <v>2052</v>
      </c>
      <c r="H232" t="s">
        <v>1632</v>
      </c>
      <c r="I232" t="s">
        <v>1971</v>
      </c>
    </row>
    <row r="233" spans="2:9" x14ac:dyDescent="0.25">
      <c r="B233" t="s">
        <v>1979</v>
      </c>
      <c r="C233" t="s">
        <v>269</v>
      </c>
      <c r="D233" t="s">
        <v>270</v>
      </c>
      <c r="E233" t="s">
        <v>271</v>
      </c>
      <c r="F233">
        <v>150</v>
      </c>
      <c r="G233" t="s">
        <v>2053</v>
      </c>
      <c r="H233" t="s">
        <v>1632</v>
      </c>
      <c r="I233" t="s">
        <v>1971</v>
      </c>
    </row>
    <row r="234" spans="2:9" x14ac:dyDescent="0.25">
      <c r="B234" t="s">
        <v>1979</v>
      </c>
      <c r="C234" t="s">
        <v>269</v>
      </c>
      <c r="D234" t="s">
        <v>270</v>
      </c>
      <c r="E234" t="s">
        <v>271</v>
      </c>
      <c r="F234">
        <v>3000</v>
      </c>
      <c r="G234" t="s">
        <v>2054</v>
      </c>
      <c r="H234" t="s">
        <v>1681</v>
      </c>
      <c r="I234" t="s">
        <v>1971</v>
      </c>
    </row>
    <row r="235" spans="2:9" x14ac:dyDescent="0.25">
      <c r="B235" t="s">
        <v>1979</v>
      </c>
      <c r="C235" t="s">
        <v>269</v>
      </c>
      <c r="D235" t="s">
        <v>270</v>
      </c>
      <c r="E235" t="s">
        <v>271</v>
      </c>
      <c r="F235">
        <v>2000</v>
      </c>
      <c r="G235" t="s">
        <v>2055</v>
      </c>
      <c r="H235" t="s">
        <v>1612</v>
      </c>
      <c r="I235" t="s">
        <v>1971</v>
      </c>
    </row>
    <row r="236" spans="2:9" x14ac:dyDescent="0.25">
      <c r="B236" t="s">
        <v>1979</v>
      </c>
      <c r="C236" t="s">
        <v>269</v>
      </c>
      <c r="D236" t="s">
        <v>270</v>
      </c>
      <c r="E236" t="s">
        <v>271</v>
      </c>
      <c r="F236">
        <v>3550</v>
      </c>
      <c r="G236" t="s">
        <v>2055</v>
      </c>
      <c r="H236" t="s">
        <v>1612</v>
      </c>
      <c r="I236" t="s">
        <v>1971</v>
      </c>
    </row>
    <row r="237" spans="2:9" x14ac:dyDescent="0.25">
      <c r="B237" t="s">
        <v>1979</v>
      </c>
      <c r="C237" t="s">
        <v>269</v>
      </c>
      <c r="D237" t="s">
        <v>270</v>
      </c>
      <c r="E237" t="s">
        <v>271</v>
      </c>
      <c r="F237">
        <v>10450</v>
      </c>
      <c r="G237" t="s">
        <v>2055</v>
      </c>
      <c r="H237" t="s">
        <v>1612</v>
      </c>
      <c r="I237" t="s">
        <v>1971</v>
      </c>
    </row>
    <row r="238" spans="2:9" x14ac:dyDescent="0.25">
      <c r="B238" t="s">
        <v>1979</v>
      </c>
      <c r="C238" t="s">
        <v>269</v>
      </c>
      <c r="D238" t="s">
        <v>270</v>
      </c>
      <c r="E238" t="s">
        <v>271</v>
      </c>
      <c r="F238">
        <v>9000</v>
      </c>
      <c r="G238" t="s">
        <v>2056</v>
      </c>
      <c r="H238" t="s">
        <v>1624</v>
      </c>
      <c r="I238" t="s">
        <v>1971</v>
      </c>
    </row>
    <row r="239" spans="2:9" x14ac:dyDescent="0.25">
      <c r="B239" t="s">
        <v>1979</v>
      </c>
      <c r="C239" t="s">
        <v>269</v>
      </c>
      <c r="D239" t="s">
        <v>270</v>
      </c>
      <c r="E239" t="s">
        <v>271</v>
      </c>
      <c r="F239">
        <v>1000</v>
      </c>
      <c r="G239" t="s">
        <v>2057</v>
      </c>
      <c r="H239" t="s">
        <v>1624</v>
      </c>
      <c r="I239" t="s">
        <v>1971</v>
      </c>
    </row>
    <row r="240" spans="2:9" x14ac:dyDescent="0.25">
      <c r="B240" t="s">
        <v>1979</v>
      </c>
      <c r="C240" t="s">
        <v>269</v>
      </c>
      <c r="D240" t="s">
        <v>270</v>
      </c>
      <c r="E240" t="s">
        <v>271</v>
      </c>
      <c r="F240">
        <v>50</v>
      </c>
      <c r="G240" t="s">
        <v>2058</v>
      </c>
      <c r="H240" t="s">
        <v>1632</v>
      </c>
      <c r="I240" t="s">
        <v>1971</v>
      </c>
    </row>
    <row r="241" spans="2:9" x14ac:dyDescent="0.25">
      <c r="B241" t="s">
        <v>1979</v>
      </c>
      <c r="C241" t="s">
        <v>269</v>
      </c>
      <c r="D241" t="s">
        <v>270</v>
      </c>
      <c r="E241" t="s">
        <v>271</v>
      </c>
      <c r="F241">
        <v>75</v>
      </c>
      <c r="G241" t="s">
        <v>2059</v>
      </c>
      <c r="H241" t="s">
        <v>1632</v>
      </c>
      <c r="I241" t="s">
        <v>1971</v>
      </c>
    </row>
    <row r="242" spans="2:9" x14ac:dyDescent="0.25">
      <c r="B242" t="s">
        <v>1979</v>
      </c>
      <c r="C242" t="s">
        <v>269</v>
      </c>
      <c r="D242" t="s">
        <v>270</v>
      </c>
      <c r="E242" t="s">
        <v>271</v>
      </c>
      <c r="F242">
        <v>100</v>
      </c>
      <c r="G242" t="s">
        <v>2060</v>
      </c>
      <c r="H242" t="s">
        <v>1632</v>
      </c>
      <c r="I242" t="s">
        <v>1971</v>
      </c>
    </row>
    <row r="243" spans="2:9" x14ac:dyDescent="0.25">
      <c r="B243" t="s">
        <v>1979</v>
      </c>
      <c r="C243" t="s">
        <v>269</v>
      </c>
      <c r="D243" t="s">
        <v>270</v>
      </c>
      <c r="E243" t="s">
        <v>271</v>
      </c>
      <c r="F243">
        <v>75</v>
      </c>
      <c r="G243" t="s">
        <v>2061</v>
      </c>
      <c r="H243" t="s">
        <v>1793</v>
      </c>
      <c r="I243" t="s">
        <v>1971</v>
      </c>
    </row>
    <row r="244" spans="2:9" x14ac:dyDescent="0.25">
      <c r="B244" t="s">
        <v>1979</v>
      </c>
      <c r="C244" t="s">
        <v>269</v>
      </c>
      <c r="D244" t="s">
        <v>270</v>
      </c>
      <c r="E244" t="s">
        <v>271</v>
      </c>
      <c r="F244">
        <v>400</v>
      </c>
      <c r="G244" t="s">
        <v>2062</v>
      </c>
      <c r="H244" t="s">
        <v>1653</v>
      </c>
      <c r="I244" t="s">
        <v>1971</v>
      </c>
    </row>
    <row r="245" spans="2:9" x14ac:dyDescent="0.25">
      <c r="B245" t="s">
        <v>1979</v>
      </c>
      <c r="C245" t="s">
        <v>269</v>
      </c>
      <c r="D245" t="s">
        <v>270</v>
      </c>
      <c r="E245" t="s">
        <v>271</v>
      </c>
      <c r="F245">
        <v>275</v>
      </c>
      <c r="G245" t="s">
        <v>2063</v>
      </c>
      <c r="H245" t="s">
        <v>1646</v>
      </c>
      <c r="I245" t="s">
        <v>1971</v>
      </c>
    </row>
    <row r="246" spans="2:9" x14ac:dyDescent="0.25">
      <c r="B246" t="s">
        <v>1979</v>
      </c>
      <c r="C246" t="s">
        <v>83</v>
      </c>
      <c r="D246" t="s">
        <v>242</v>
      </c>
      <c r="E246" t="s">
        <v>243</v>
      </c>
      <c r="F246">
        <v>20</v>
      </c>
      <c r="G246" t="s">
        <v>2064</v>
      </c>
      <c r="H246" t="s">
        <v>1654</v>
      </c>
      <c r="I246" t="s">
        <v>1971</v>
      </c>
    </row>
    <row r="247" spans="2:9" x14ac:dyDescent="0.25">
      <c r="B247" t="s">
        <v>1979</v>
      </c>
      <c r="C247" t="s">
        <v>58</v>
      </c>
      <c r="D247" t="s">
        <v>383</v>
      </c>
      <c r="E247" t="s">
        <v>384</v>
      </c>
      <c r="F247">
        <v>100</v>
      </c>
      <c r="G247" t="s">
        <v>2069</v>
      </c>
      <c r="H247" t="s">
        <v>1697</v>
      </c>
      <c r="I247" t="s">
        <v>1971</v>
      </c>
    </row>
    <row r="248" spans="2:9" x14ac:dyDescent="0.25">
      <c r="B248" t="s">
        <v>1979</v>
      </c>
      <c r="C248" t="s">
        <v>61</v>
      </c>
      <c r="D248" t="s">
        <v>1171</v>
      </c>
      <c r="E248" t="s">
        <v>1172</v>
      </c>
      <c r="F248">
        <v>10</v>
      </c>
      <c r="G248" t="s">
        <v>2033</v>
      </c>
      <c r="H248" t="s">
        <v>1640</v>
      </c>
      <c r="I248" t="s">
        <v>1971</v>
      </c>
    </row>
    <row r="249" spans="2:9" x14ac:dyDescent="0.25">
      <c r="B249" t="s">
        <v>1979</v>
      </c>
      <c r="C249" t="s">
        <v>61</v>
      </c>
      <c r="D249" t="s">
        <v>1171</v>
      </c>
      <c r="E249" t="s">
        <v>1172</v>
      </c>
      <c r="F249">
        <v>2</v>
      </c>
      <c r="G249" t="s">
        <v>2033</v>
      </c>
      <c r="H249" t="s">
        <v>1640</v>
      </c>
      <c r="I249" t="s">
        <v>1971</v>
      </c>
    </row>
    <row r="250" spans="2:9" x14ac:dyDescent="0.25">
      <c r="B250" t="s">
        <v>1979</v>
      </c>
      <c r="C250" t="s">
        <v>64</v>
      </c>
      <c r="D250" t="s">
        <v>856</v>
      </c>
      <c r="E250" t="s">
        <v>857</v>
      </c>
      <c r="F250">
        <v>5</v>
      </c>
      <c r="G250" t="s">
        <v>1985</v>
      </c>
      <c r="H250" t="s">
        <v>1775</v>
      </c>
      <c r="I250" t="s">
        <v>1971</v>
      </c>
    </row>
    <row r="251" spans="2:9" x14ac:dyDescent="0.25">
      <c r="B251" t="s">
        <v>1979</v>
      </c>
      <c r="C251" t="s">
        <v>70</v>
      </c>
      <c r="D251" t="s">
        <v>333</v>
      </c>
      <c r="E251" t="s">
        <v>334</v>
      </c>
      <c r="F251">
        <v>20</v>
      </c>
      <c r="G251" t="s">
        <v>2012</v>
      </c>
      <c r="H251" t="s">
        <v>1632</v>
      </c>
      <c r="I251" t="s">
        <v>1971</v>
      </c>
    </row>
    <row r="252" spans="2:9" x14ac:dyDescent="0.25">
      <c r="B252" t="s">
        <v>1979</v>
      </c>
      <c r="C252" t="s">
        <v>70</v>
      </c>
      <c r="D252" t="s">
        <v>333</v>
      </c>
      <c r="E252" t="s">
        <v>334</v>
      </c>
      <c r="F252">
        <v>5</v>
      </c>
      <c r="G252" t="s">
        <v>2070</v>
      </c>
      <c r="H252" t="s">
        <v>1751</v>
      </c>
      <c r="I252" t="s">
        <v>1971</v>
      </c>
    </row>
    <row r="253" spans="2:9" x14ac:dyDescent="0.25">
      <c r="B253" t="s">
        <v>1979</v>
      </c>
      <c r="C253" t="s">
        <v>70</v>
      </c>
      <c r="D253" t="s">
        <v>333</v>
      </c>
      <c r="E253" t="s">
        <v>334</v>
      </c>
      <c r="F253">
        <v>20</v>
      </c>
      <c r="G253" t="s">
        <v>2022</v>
      </c>
      <c r="H253" t="s">
        <v>1632</v>
      </c>
      <c r="I253" t="s">
        <v>1971</v>
      </c>
    </row>
    <row r="254" spans="2:9" x14ac:dyDescent="0.25">
      <c r="B254" t="s">
        <v>1979</v>
      </c>
      <c r="C254" t="s">
        <v>546</v>
      </c>
      <c r="D254" t="s">
        <v>1212</v>
      </c>
      <c r="E254" t="s">
        <v>1213</v>
      </c>
      <c r="F254">
        <v>12</v>
      </c>
      <c r="G254" t="s">
        <v>1994</v>
      </c>
      <c r="H254" t="s">
        <v>1697</v>
      </c>
      <c r="I254" t="s">
        <v>1971</v>
      </c>
    </row>
    <row r="255" spans="2:9" x14ac:dyDescent="0.25">
      <c r="B255" t="s">
        <v>1979</v>
      </c>
      <c r="C255" t="s">
        <v>83</v>
      </c>
      <c r="D255" t="s">
        <v>394</v>
      </c>
      <c r="E255" t="s">
        <v>395</v>
      </c>
      <c r="F255">
        <v>200</v>
      </c>
      <c r="G255" t="s">
        <v>2035</v>
      </c>
      <c r="H255" t="s">
        <v>1712</v>
      </c>
      <c r="I255" t="s">
        <v>1971</v>
      </c>
    </row>
    <row r="256" spans="2:9" x14ac:dyDescent="0.25">
      <c r="B256" t="s">
        <v>1979</v>
      </c>
      <c r="C256" t="s">
        <v>8</v>
      </c>
      <c r="D256" t="s">
        <v>302</v>
      </c>
      <c r="E256" t="s">
        <v>303</v>
      </c>
      <c r="F256">
        <v>2520</v>
      </c>
      <c r="G256" t="s">
        <v>2049</v>
      </c>
      <c r="H256" t="s">
        <v>1706</v>
      </c>
      <c r="I256" t="s">
        <v>1971</v>
      </c>
    </row>
    <row r="257" spans="2:9" x14ac:dyDescent="0.25">
      <c r="B257" t="s">
        <v>1979</v>
      </c>
      <c r="C257" t="s">
        <v>8</v>
      </c>
      <c r="D257" t="s">
        <v>302</v>
      </c>
      <c r="E257" t="s">
        <v>303</v>
      </c>
      <c r="F257">
        <v>3360</v>
      </c>
      <c r="G257" t="s">
        <v>2065</v>
      </c>
      <c r="H257" t="s">
        <v>1779</v>
      </c>
      <c r="I257" t="s">
        <v>1971</v>
      </c>
    </row>
    <row r="258" spans="2:9" x14ac:dyDescent="0.25">
      <c r="B258" t="s">
        <v>1979</v>
      </c>
      <c r="C258" t="s">
        <v>8</v>
      </c>
      <c r="D258" t="s">
        <v>302</v>
      </c>
      <c r="E258" t="s">
        <v>303</v>
      </c>
      <c r="F258">
        <v>10000</v>
      </c>
      <c r="G258" t="s">
        <v>2066</v>
      </c>
      <c r="H258" t="s">
        <v>1653</v>
      </c>
      <c r="I258" t="s">
        <v>1971</v>
      </c>
    </row>
    <row r="259" spans="2:9" x14ac:dyDescent="0.25">
      <c r="B259" t="s">
        <v>1979</v>
      </c>
      <c r="C259" t="s">
        <v>8</v>
      </c>
      <c r="D259" t="s">
        <v>302</v>
      </c>
      <c r="E259" t="s">
        <v>303</v>
      </c>
      <c r="F259">
        <v>5120</v>
      </c>
      <c r="G259" t="s">
        <v>2066</v>
      </c>
      <c r="H259" t="s">
        <v>1653</v>
      </c>
      <c r="I259" t="s">
        <v>1971</v>
      </c>
    </row>
    <row r="260" spans="2:9" x14ac:dyDescent="0.25">
      <c r="B260" t="s">
        <v>1979</v>
      </c>
      <c r="C260" t="s">
        <v>8</v>
      </c>
      <c r="D260" t="s">
        <v>302</v>
      </c>
      <c r="E260" t="s">
        <v>303</v>
      </c>
      <c r="F260">
        <v>80</v>
      </c>
      <c r="G260" t="s">
        <v>2035</v>
      </c>
      <c r="H260" t="s">
        <v>1712</v>
      </c>
      <c r="I260" t="s">
        <v>1971</v>
      </c>
    </row>
    <row r="261" spans="2:9" x14ac:dyDescent="0.25">
      <c r="B261" t="s">
        <v>1979</v>
      </c>
      <c r="C261" t="s">
        <v>8</v>
      </c>
      <c r="D261" t="s">
        <v>302</v>
      </c>
      <c r="E261" t="s">
        <v>303</v>
      </c>
      <c r="F261">
        <v>3280</v>
      </c>
      <c r="G261" t="s">
        <v>2035</v>
      </c>
      <c r="H261" t="s">
        <v>1712</v>
      </c>
      <c r="I261" t="s">
        <v>1971</v>
      </c>
    </row>
    <row r="262" spans="2:9" x14ac:dyDescent="0.25">
      <c r="B262" t="s">
        <v>1979</v>
      </c>
      <c r="C262" t="s">
        <v>49</v>
      </c>
      <c r="D262" t="s">
        <v>322</v>
      </c>
      <c r="E262" t="s">
        <v>323</v>
      </c>
      <c r="F262">
        <v>6720</v>
      </c>
      <c r="G262" t="s">
        <v>2092</v>
      </c>
      <c r="H262" t="s">
        <v>1629</v>
      </c>
      <c r="I262" t="s">
        <v>1971</v>
      </c>
    </row>
    <row r="263" spans="2:9" x14ac:dyDescent="0.25">
      <c r="B263" t="s">
        <v>1979</v>
      </c>
      <c r="C263" t="s">
        <v>49</v>
      </c>
      <c r="D263" t="s">
        <v>322</v>
      </c>
      <c r="E263" t="s">
        <v>323</v>
      </c>
      <c r="F263">
        <v>2600</v>
      </c>
      <c r="G263" t="s">
        <v>2093</v>
      </c>
      <c r="H263" t="s">
        <v>1742</v>
      </c>
      <c r="I263" t="s">
        <v>1971</v>
      </c>
    </row>
    <row r="264" spans="2:9" x14ac:dyDescent="0.25">
      <c r="B264" t="s">
        <v>1979</v>
      </c>
      <c r="C264" t="s">
        <v>49</v>
      </c>
      <c r="D264" t="s">
        <v>322</v>
      </c>
      <c r="E264" t="s">
        <v>323</v>
      </c>
      <c r="F264">
        <v>5420</v>
      </c>
      <c r="G264" t="s">
        <v>2093</v>
      </c>
      <c r="H264" t="s">
        <v>1742</v>
      </c>
      <c r="I264" t="s">
        <v>1971</v>
      </c>
    </row>
    <row r="265" spans="2:9" x14ac:dyDescent="0.25">
      <c r="B265" t="s">
        <v>1979</v>
      </c>
      <c r="C265" t="s">
        <v>49</v>
      </c>
      <c r="D265" t="s">
        <v>322</v>
      </c>
      <c r="E265" t="s">
        <v>323</v>
      </c>
      <c r="F265">
        <v>10000</v>
      </c>
      <c r="G265" t="s">
        <v>2094</v>
      </c>
      <c r="H265" t="s">
        <v>1739</v>
      </c>
      <c r="I265" t="s">
        <v>1971</v>
      </c>
    </row>
    <row r="266" spans="2:9" x14ac:dyDescent="0.25">
      <c r="B266" t="s">
        <v>1979</v>
      </c>
      <c r="C266" t="s">
        <v>49</v>
      </c>
      <c r="D266" t="s">
        <v>322</v>
      </c>
      <c r="E266" t="s">
        <v>323</v>
      </c>
      <c r="F266">
        <v>7140</v>
      </c>
      <c r="G266" t="s">
        <v>2094</v>
      </c>
      <c r="H266" t="s">
        <v>1739</v>
      </c>
      <c r="I266" t="s">
        <v>1971</v>
      </c>
    </row>
    <row r="267" spans="2:9" x14ac:dyDescent="0.25">
      <c r="B267" t="s">
        <v>1979</v>
      </c>
      <c r="C267" t="s">
        <v>49</v>
      </c>
      <c r="D267" t="s">
        <v>322</v>
      </c>
      <c r="E267" t="s">
        <v>323</v>
      </c>
      <c r="F267">
        <v>1340</v>
      </c>
      <c r="G267" t="s">
        <v>2126</v>
      </c>
      <c r="H267" t="s">
        <v>1739</v>
      </c>
      <c r="I267" t="s">
        <v>1971</v>
      </c>
    </row>
    <row r="268" spans="2:9" x14ac:dyDescent="0.25">
      <c r="B268" t="s">
        <v>1979</v>
      </c>
      <c r="C268" t="s">
        <v>49</v>
      </c>
      <c r="D268" t="s">
        <v>322</v>
      </c>
      <c r="E268" t="s">
        <v>323</v>
      </c>
      <c r="F268">
        <v>1520</v>
      </c>
      <c r="G268" t="s">
        <v>2127</v>
      </c>
      <c r="H268" t="s">
        <v>1646</v>
      </c>
      <c r="I268" t="s">
        <v>1971</v>
      </c>
    </row>
    <row r="269" spans="2:9" x14ac:dyDescent="0.25">
      <c r="B269" t="s">
        <v>1979</v>
      </c>
      <c r="C269" t="s">
        <v>49</v>
      </c>
      <c r="D269" t="s">
        <v>322</v>
      </c>
      <c r="E269" t="s">
        <v>323</v>
      </c>
      <c r="F269">
        <v>6800</v>
      </c>
      <c r="G269" t="s">
        <v>2127</v>
      </c>
      <c r="H269" t="s">
        <v>1646</v>
      </c>
      <c r="I269" t="s">
        <v>1971</v>
      </c>
    </row>
    <row r="270" spans="2:9" x14ac:dyDescent="0.25">
      <c r="B270" t="s">
        <v>1979</v>
      </c>
      <c r="C270" t="s">
        <v>49</v>
      </c>
      <c r="D270" t="s">
        <v>322</v>
      </c>
      <c r="E270" t="s">
        <v>323</v>
      </c>
      <c r="F270">
        <v>4280</v>
      </c>
      <c r="G270" t="s">
        <v>2127</v>
      </c>
      <c r="H270" t="s">
        <v>1646</v>
      </c>
      <c r="I270" t="s">
        <v>1971</v>
      </c>
    </row>
    <row r="271" spans="2:9" x14ac:dyDescent="0.25">
      <c r="B271" t="s">
        <v>1979</v>
      </c>
      <c r="C271" t="s">
        <v>49</v>
      </c>
      <c r="D271" t="s">
        <v>322</v>
      </c>
      <c r="E271" t="s">
        <v>323</v>
      </c>
      <c r="F271">
        <v>5880</v>
      </c>
      <c r="G271" t="s">
        <v>2128</v>
      </c>
      <c r="H271" t="s">
        <v>1712</v>
      </c>
      <c r="I271" t="s">
        <v>1971</v>
      </c>
    </row>
    <row r="272" spans="2:9" x14ac:dyDescent="0.25">
      <c r="B272" t="s">
        <v>1979</v>
      </c>
      <c r="C272" t="s">
        <v>418</v>
      </c>
      <c r="D272" t="s">
        <v>423</v>
      </c>
      <c r="E272" t="s">
        <v>424</v>
      </c>
      <c r="F272">
        <v>240</v>
      </c>
      <c r="G272" t="s">
        <v>2011</v>
      </c>
      <c r="H272" t="s">
        <v>1789</v>
      </c>
      <c r="I272" t="s">
        <v>1971</v>
      </c>
    </row>
    <row r="273" spans="2:9" x14ac:dyDescent="0.25">
      <c r="B273" t="s">
        <v>1979</v>
      </c>
      <c r="C273" t="s">
        <v>418</v>
      </c>
      <c r="D273" t="s">
        <v>423</v>
      </c>
      <c r="E273" t="s">
        <v>424</v>
      </c>
      <c r="F273">
        <v>120</v>
      </c>
      <c r="G273" t="s">
        <v>2071</v>
      </c>
      <c r="H273" t="s">
        <v>1614</v>
      </c>
      <c r="I273" t="s">
        <v>1971</v>
      </c>
    </row>
    <row r="274" spans="2:9" x14ac:dyDescent="0.25">
      <c r="B274" t="s">
        <v>1979</v>
      </c>
      <c r="C274" t="s">
        <v>418</v>
      </c>
      <c r="D274" t="s">
        <v>423</v>
      </c>
      <c r="E274" t="s">
        <v>424</v>
      </c>
      <c r="F274">
        <v>120</v>
      </c>
      <c r="G274" t="s">
        <v>2071</v>
      </c>
      <c r="H274" t="s">
        <v>1614</v>
      </c>
      <c r="I274" t="s">
        <v>1971</v>
      </c>
    </row>
    <row r="275" spans="2:9" x14ac:dyDescent="0.25">
      <c r="B275" t="s">
        <v>1979</v>
      </c>
      <c r="C275" t="s">
        <v>418</v>
      </c>
      <c r="D275" t="s">
        <v>423</v>
      </c>
      <c r="E275" t="s">
        <v>424</v>
      </c>
      <c r="F275">
        <v>600</v>
      </c>
      <c r="G275" t="s">
        <v>2072</v>
      </c>
      <c r="H275" t="s">
        <v>1614</v>
      </c>
      <c r="I275" t="s">
        <v>1971</v>
      </c>
    </row>
    <row r="276" spans="2:9" x14ac:dyDescent="0.25">
      <c r="B276" t="s">
        <v>1979</v>
      </c>
      <c r="C276" t="s">
        <v>418</v>
      </c>
      <c r="D276" t="s">
        <v>423</v>
      </c>
      <c r="E276" t="s">
        <v>424</v>
      </c>
      <c r="F276">
        <v>600</v>
      </c>
      <c r="G276" t="s">
        <v>2073</v>
      </c>
      <c r="H276" t="s">
        <v>1786</v>
      </c>
      <c r="I276" t="s">
        <v>1971</v>
      </c>
    </row>
    <row r="277" spans="2:9" x14ac:dyDescent="0.25">
      <c r="B277" t="s">
        <v>1979</v>
      </c>
      <c r="C277" t="s">
        <v>623</v>
      </c>
      <c r="D277" t="s">
        <v>925</v>
      </c>
      <c r="E277" t="s">
        <v>926</v>
      </c>
      <c r="F277">
        <v>160</v>
      </c>
      <c r="G277" t="s">
        <v>2074</v>
      </c>
      <c r="H277" t="s">
        <v>1672</v>
      </c>
      <c r="I277" t="s">
        <v>1971</v>
      </c>
    </row>
    <row r="278" spans="2:9" x14ac:dyDescent="0.25">
      <c r="B278" t="s">
        <v>1979</v>
      </c>
      <c r="C278" t="s">
        <v>623</v>
      </c>
      <c r="D278" t="s">
        <v>925</v>
      </c>
      <c r="E278" t="s">
        <v>926</v>
      </c>
      <c r="F278">
        <v>5</v>
      </c>
      <c r="G278" t="s">
        <v>2075</v>
      </c>
      <c r="H278" t="s">
        <v>1654</v>
      </c>
      <c r="I278" t="s">
        <v>1971</v>
      </c>
    </row>
    <row r="279" spans="2:9" x14ac:dyDescent="0.25">
      <c r="B279" t="s">
        <v>1979</v>
      </c>
      <c r="C279" t="s">
        <v>623</v>
      </c>
      <c r="D279" t="s">
        <v>925</v>
      </c>
      <c r="E279" t="s">
        <v>926</v>
      </c>
      <c r="F279">
        <v>255</v>
      </c>
      <c r="G279" t="s">
        <v>2075</v>
      </c>
      <c r="H279" t="s">
        <v>1654</v>
      </c>
      <c r="I279" t="s">
        <v>1971</v>
      </c>
    </row>
    <row r="280" spans="2:9" x14ac:dyDescent="0.25">
      <c r="B280" t="s">
        <v>1979</v>
      </c>
      <c r="C280" t="s">
        <v>623</v>
      </c>
      <c r="D280" t="s">
        <v>871</v>
      </c>
      <c r="E280" t="s">
        <v>872</v>
      </c>
      <c r="F280">
        <v>1000</v>
      </c>
      <c r="G280" t="s">
        <v>1999</v>
      </c>
      <c r="H280" t="s">
        <v>1867</v>
      </c>
      <c r="I280" t="s">
        <v>1971</v>
      </c>
    </row>
    <row r="281" spans="2:9" x14ac:dyDescent="0.25">
      <c r="B281" t="s">
        <v>1979</v>
      </c>
      <c r="C281" t="s">
        <v>623</v>
      </c>
      <c r="D281" t="s">
        <v>871</v>
      </c>
      <c r="E281" t="s">
        <v>872</v>
      </c>
      <c r="F281">
        <v>500</v>
      </c>
      <c r="G281" t="s">
        <v>2074</v>
      </c>
      <c r="H281" t="s">
        <v>1672</v>
      </c>
      <c r="I281" t="s">
        <v>1971</v>
      </c>
    </row>
    <row r="282" spans="2:9" x14ac:dyDescent="0.25">
      <c r="B282" t="s">
        <v>1979</v>
      </c>
      <c r="C282" t="s">
        <v>623</v>
      </c>
      <c r="D282" t="s">
        <v>871</v>
      </c>
      <c r="E282" t="s">
        <v>872</v>
      </c>
      <c r="F282">
        <v>220</v>
      </c>
      <c r="G282" t="s">
        <v>2077</v>
      </c>
      <c r="H282" t="s">
        <v>1775</v>
      </c>
      <c r="I282" t="s">
        <v>1971</v>
      </c>
    </row>
    <row r="283" spans="2:9" x14ac:dyDescent="0.25">
      <c r="B283" t="s">
        <v>1979</v>
      </c>
      <c r="C283" t="s">
        <v>623</v>
      </c>
      <c r="D283" t="s">
        <v>871</v>
      </c>
      <c r="E283" t="s">
        <v>872</v>
      </c>
      <c r="F283">
        <v>280</v>
      </c>
      <c r="G283" t="s">
        <v>1987</v>
      </c>
      <c r="H283" t="s">
        <v>1826</v>
      </c>
      <c r="I283" t="s">
        <v>1971</v>
      </c>
    </row>
    <row r="284" spans="2:9" x14ac:dyDescent="0.25">
      <c r="B284" t="s">
        <v>1979</v>
      </c>
      <c r="C284" t="s">
        <v>623</v>
      </c>
      <c r="D284" t="s">
        <v>871</v>
      </c>
      <c r="E284" t="s">
        <v>872</v>
      </c>
      <c r="F284">
        <v>100</v>
      </c>
      <c r="G284" t="s">
        <v>2078</v>
      </c>
      <c r="H284" t="s">
        <v>1634</v>
      </c>
      <c r="I284" t="s">
        <v>1971</v>
      </c>
    </row>
    <row r="285" spans="2:9" x14ac:dyDescent="0.25">
      <c r="B285" t="s">
        <v>1979</v>
      </c>
      <c r="C285" t="s">
        <v>623</v>
      </c>
      <c r="D285" t="s">
        <v>871</v>
      </c>
      <c r="E285" t="s">
        <v>872</v>
      </c>
      <c r="F285">
        <v>40</v>
      </c>
      <c r="G285" t="s">
        <v>2078</v>
      </c>
      <c r="H285" t="s">
        <v>1634</v>
      </c>
      <c r="I285" t="s">
        <v>1971</v>
      </c>
    </row>
    <row r="286" spans="2:9" x14ac:dyDescent="0.25">
      <c r="B286" t="s">
        <v>1979</v>
      </c>
      <c r="C286" t="s">
        <v>623</v>
      </c>
      <c r="D286" t="s">
        <v>871</v>
      </c>
      <c r="E286" t="s">
        <v>872</v>
      </c>
      <c r="F286">
        <v>200</v>
      </c>
      <c r="G286" t="s">
        <v>2079</v>
      </c>
      <c r="H286" t="s">
        <v>1739</v>
      </c>
      <c r="I286" t="s">
        <v>1971</v>
      </c>
    </row>
    <row r="287" spans="2:9" x14ac:dyDescent="0.25">
      <c r="B287" t="s">
        <v>1979</v>
      </c>
      <c r="C287" t="s">
        <v>623</v>
      </c>
      <c r="D287" t="s">
        <v>871</v>
      </c>
      <c r="E287" t="s">
        <v>872</v>
      </c>
      <c r="F287">
        <v>60</v>
      </c>
      <c r="G287" t="s">
        <v>2080</v>
      </c>
      <c r="H287" t="s">
        <v>1649</v>
      </c>
      <c r="I287" t="s">
        <v>1971</v>
      </c>
    </row>
    <row r="288" spans="2:9" x14ac:dyDescent="0.25">
      <c r="B288" t="s">
        <v>1979</v>
      </c>
      <c r="C288" t="s">
        <v>623</v>
      </c>
      <c r="D288" t="s">
        <v>871</v>
      </c>
      <c r="E288" t="s">
        <v>872</v>
      </c>
      <c r="F288">
        <v>120</v>
      </c>
      <c r="G288" t="s">
        <v>2076</v>
      </c>
      <c r="H288" t="s">
        <v>1612</v>
      </c>
      <c r="I288" t="s">
        <v>1971</v>
      </c>
    </row>
    <row r="289" spans="2:9" x14ac:dyDescent="0.25">
      <c r="B289" t="s">
        <v>1979</v>
      </c>
      <c r="C289" t="s">
        <v>52</v>
      </c>
      <c r="D289" t="s">
        <v>873</v>
      </c>
      <c r="E289" t="s">
        <v>874</v>
      </c>
      <c r="F289">
        <v>72</v>
      </c>
      <c r="G289" t="s">
        <v>2035</v>
      </c>
      <c r="H289" t="s">
        <v>1712</v>
      </c>
      <c r="I289" t="s">
        <v>1971</v>
      </c>
    </row>
    <row r="290" spans="2:9" x14ac:dyDescent="0.25">
      <c r="B290" t="s">
        <v>1979</v>
      </c>
      <c r="C290" t="s">
        <v>521</v>
      </c>
      <c r="D290" t="s">
        <v>1206</v>
      </c>
      <c r="E290" t="s">
        <v>1207</v>
      </c>
      <c r="F290">
        <v>11</v>
      </c>
      <c r="G290" t="s">
        <v>2037</v>
      </c>
      <c r="H290" t="s">
        <v>1629</v>
      </c>
      <c r="I290" t="s">
        <v>1971</v>
      </c>
    </row>
    <row r="291" spans="2:9" x14ac:dyDescent="0.25">
      <c r="B291" t="s">
        <v>1979</v>
      </c>
      <c r="C291" t="s">
        <v>521</v>
      </c>
      <c r="D291" t="s">
        <v>1206</v>
      </c>
      <c r="E291" t="s">
        <v>1207</v>
      </c>
      <c r="F291">
        <v>20</v>
      </c>
      <c r="G291" t="s">
        <v>2037</v>
      </c>
      <c r="H291" t="s">
        <v>1629</v>
      </c>
      <c r="I291" t="s">
        <v>1971</v>
      </c>
    </row>
    <row r="292" spans="2:9" x14ac:dyDescent="0.25">
      <c r="B292" t="s">
        <v>1979</v>
      </c>
      <c r="C292" t="s">
        <v>521</v>
      </c>
      <c r="D292" t="s">
        <v>1206</v>
      </c>
      <c r="E292" t="s">
        <v>1207</v>
      </c>
      <c r="F292">
        <v>17</v>
      </c>
      <c r="G292" t="s">
        <v>2037</v>
      </c>
      <c r="H292" t="s">
        <v>1629</v>
      </c>
      <c r="I292" t="s">
        <v>1971</v>
      </c>
    </row>
    <row r="293" spans="2:9" x14ac:dyDescent="0.25">
      <c r="B293" t="s">
        <v>1979</v>
      </c>
      <c r="C293" t="s">
        <v>521</v>
      </c>
      <c r="D293" t="s">
        <v>877</v>
      </c>
      <c r="E293" t="s">
        <v>878</v>
      </c>
      <c r="F293">
        <v>20</v>
      </c>
      <c r="G293" t="s">
        <v>2081</v>
      </c>
      <c r="H293" t="s">
        <v>1619</v>
      </c>
      <c r="I293" t="s">
        <v>1971</v>
      </c>
    </row>
    <row r="294" spans="2:9" x14ac:dyDescent="0.25">
      <c r="B294" t="s">
        <v>1979</v>
      </c>
      <c r="C294" t="s">
        <v>209</v>
      </c>
      <c r="D294" t="s">
        <v>850</v>
      </c>
      <c r="E294" t="s">
        <v>851</v>
      </c>
      <c r="F294">
        <v>12</v>
      </c>
      <c r="G294" t="s">
        <v>1994</v>
      </c>
      <c r="H294" t="s">
        <v>1697</v>
      </c>
      <c r="I294" t="s">
        <v>1971</v>
      </c>
    </row>
    <row r="295" spans="2:9" x14ac:dyDescent="0.25">
      <c r="B295" t="s">
        <v>1979</v>
      </c>
      <c r="C295" t="s">
        <v>209</v>
      </c>
      <c r="D295" t="s">
        <v>850</v>
      </c>
      <c r="E295" t="s">
        <v>851</v>
      </c>
      <c r="F295">
        <v>4</v>
      </c>
      <c r="G295" t="s">
        <v>2040</v>
      </c>
      <c r="H295" t="s">
        <v>1663</v>
      </c>
      <c r="I295" t="s">
        <v>1971</v>
      </c>
    </row>
    <row r="296" spans="2:9" x14ac:dyDescent="0.25">
      <c r="B296" t="s">
        <v>1979</v>
      </c>
      <c r="C296" t="s">
        <v>209</v>
      </c>
      <c r="D296" t="s">
        <v>850</v>
      </c>
      <c r="E296" t="s">
        <v>851</v>
      </c>
      <c r="F296">
        <v>12</v>
      </c>
      <c r="G296" t="s">
        <v>2040</v>
      </c>
      <c r="H296" t="s">
        <v>1663</v>
      </c>
      <c r="I296" t="s">
        <v>1971</v>
      </c>
    </row>
    <row r="297" spans="2:9" x14ac:dyDescent="0.25">
      <c r="B297" t="s">
        <v>1979</v>
      </c>
      <c r="C297" t="s">
        <v>120</v>
      </c>
      <c r="D297" t="s">
        <v>901</v>
      </c>
      <c r="E297" t="s">
        <v>902</v>
      </c>
      <c r="F297">
        <v>450</v>
      </c>
      <c r="G297" t="s">
        <v>2001</v>
      </c>
      <c r="H297" t="s">
        <v>1634</v>
      </c>
      <c r="I297" t="s">
        <v>1971</v>
      </c>
    </row>
    <row r="298" spans="2:9" x14ac:dyDescent="0.25">
      <c r="B298" t="s">
        <v>1979</v>
      </c>
      <c r="C298" t="s">
        <v>148</v>
      </c>
      <c r="D298" t="s">
        <v>923</v>
      </c>
      <c r="E298" t="s">
        <v>924</v>
      </c>
      <c r="F298">
        <v>12</v>
      </c>
      <c r="G298" t="s">
        <v>2033</v>
      </c>
      <c r="H298" t="s">
        <v>1640</v>
      </c>
      <c r="I298" t="s">
        <v>1971</v>
      </c>
    </row>
    <row r="299" spans="2:9" x14ac:dyDescent="0.25">
      <c r="B299" t="s">
        <v>1979</v>
      </c>
      <c r="C299" t="s">
        <v>64</v>
      </c>
      <c r="D299" t="s">
        <v>390</v>
      </c>
      <c r="E299" t="s">
        <v>391</v>
      </c>
      <c r="F299">
        <v>500</v>
      </c>
      <c r="G299" t="s">
        <v>2544</v>
      </c>
      <c r="H299" t="s">
        <v>1742</v>
      </c>
      <c r="I299" t="s">
        <v>1971</v>
      </c>
    </row>
    <row r="300" spans="2:9" x14ac:dyDescent="0.25">
      <c r="B300" t="s">
        <v>1979</v>
      </c>
      <c r="C300" t="s">
        <v>64</v>
      </c>
      <c r="D300" t="s">
        <v>390</v>
      </c>
      <c r="E300" t="s">
        <v>391</v>
      </c>
      <c r="F300">
        <v>1500</v>
      </c>
      <c r="G300" t="s">
        <v>2544</v>
      </c>
      <c r="H300" t="s">
        <v>1742</v>
      </c>
      <c r="I300" t="s">
        <v>1971</v>
      </c>
    </row>
    <row r="301" spans="2:9" x14ac:dyDescent="0.25">
      <c r="B301" t="s">
        <v>1979</v>
      </c>
      <c r="C301" t="s">
        <v>261</v>
      </c>
      <c r="D301" t="s">
        <v>892</v>
      </c>
      <c r="E301" t="s">
        <v>893</v>
      </c>
      <c r="F301">
        <v>1140</v>
      </c>
      <c r="G301" t="s">
        <v>2082</v>
      </c>
      <c r="H301" t="s">
        <v>1752</v>
      </c>
      <c r="I301" t="s">
        <v>1971</v>
      </c>
    </row>
    <row r="302" spans="2:9" x14ac:dyDescent="0.25">
      <c r="B302" t="s">
        <v>1979</v>
      </c>
      <c r="C302" t="s">
        <v>261</v>
      </c>
      <c r="D302" t="s">
        <v>892</v>
      </c>
      <c r="E302" t="s">
        <v>893</v>
      </c>
      <c r="F302">
        <v>4360</v>
      </c>
      <c r="G302" t="s">
        <v>2082</v>
      </c>
      <c r="H302" t="s">
        <v>1752</v>
      </c>
      <c r="I302" t="s">
        <v>1971</v>
      </c>
    </row>
    <row r="303" spans="2:9" x14ac:dyDescent="0.25">
      <c r="B303" t="s">
        <v>1979</v>
      </c>
      <c r="C303" t="s">
        <v>261</v>
      </c>
      <c r="D303" t="s">
        <v>892</v>
      </c>
      <c r="E303" t="s">
        <v>893</v>
      </c>
      <c r="F303">
        <v>1420</v>
      </c>
      <c r="G303" t="s">
        <v>2083</v>
      </c>
      <c r="H303" t="s">
        <v>1631</v>
      </c>
      <c r="I303" t="s">
        <v>1971</v>
      </c>
    </row>
    <row r="304" spans="2:9" x14ac:dyDescent="0.25">
      <c r="B304" t="s">
        <v>1979</v>
      </c>
      <c r="C304" t="s">
        <v>261</v>
      </c>
      <c r="D304" t="s">
        <v>892</v>
      </c>
      <c r="E304" t="s">
        <v>893</v>
      </c>
      <c r="F304">
        <v>1000</v>
      </c>
      <c r="G304" t="s">
        <v>2084</v>
      </c>
      <c r="H304" t="s">
        <v>1631</v>
      </c>
      <c r="I304" t="s">
        <v>1971</v>
      </c>
    </row>
    <row r="305" spans="2:9" x14ac:dyDescent="0.25">
      <c r="B305" t="s">
        <v>1979</v>
      </c>
      <c r="C305" t="s">
        <v>261</v>
      </c>
      <c r="D305" t="s">
        <v>892</v>
      </c>
      <c r="E305" t="s">
        <v>893</v>
      </c>
      <c r="F305">
        <v>340</v>
      </c>
      <c r="G305" t="s">
        <v>2084</v>
      </c>
      <c r="H305" t="s">
        <v>1631</v>
      </c>
      <c r="I305" t="s">
        <v>1971</v>
      </c>
    </row>
    <row r="306" spans="2:9" x14ac:dyDescent="0.25">
      <c r="B306" t="s">
        <v>1979</v>
      </c>
      <c r="C306" t="s">
        <v>261</v>
      </c>
      <c r="D306" t="s">
        <v>892</v>
      </c>
      <c r="E306" t="s">
        <v>893</v>
      </c>
      <c r="F306">
        <v>500</v>
      </c>
      <c r="G306" t="s">
        <v>2084</v>
      </c>
      <c r="H306" t="s">
        <v>1631</v>
      </c>
      <c r="I306" t="s">
        <v>1971</v>
      </c>
    </row>
    <row r="307" spans="2:9" x14ac:dyDescent="0.25">
      <c r="B307" t="s">
        <v>1979</v>
      </c>
      <c r="C307" t="s">
        <v>261</v>
      </c>
      <c r="D307" t="s">
        <v>892</v>
      </c>
      <c r="E307" t="s">
        <v>893</v>
      </c>
      <c r="F307">
        <v>1820</v>
      </c>
      <c r="G307" t="s">
        <v>2085</v>
      </c>
      <c r="H307" t="s">
        <v>1786</v>
      </c>
      <c r="I307" t="s">
        <v>1971</v>
      </c>
    </row>
    <row r="308" spans="2:9" x14ac:dyDescent="0.25">
      <c r="B308" t="s">
        <v>1979</v>
      </c>
      <c r="C308" t="s">
        <v>237</v>
      </c>
      <c r="D308" t="s">
        <v>1063</v>
      </c>
      <c r="E308" t="s">
        <v>1064</v>
      </c>
      <c r="F308">
        <v>60</v>
      </c>
      <c r="G308" t="s">
        <v>1997</v>
      </c>
      <c r="H308" t="s">
        <v>1815</v>
      </c>
      <c r="I308" t="s">
        <v>1971</v>
      </c>
    </row>
    <row r="309" spans="2:9" x14ac:dyDescent="0.25">
      <c r="B309" t="s">
        <v>1979</v>
      </c>
      <c r="C309" t="s">
        <v>352</v>
      </c>
      <c r="D309" t="s">
        <v>1065</v>
      </c>
      <c r="E309" t="s">
        <v>1066</v>
      </c>
      <c r="F309">
        <v>12</v>
      </c>
      <c r="G309" t="s">
        <v>1998</v>
      </c>
      <c r="H309" t="s">
        <v>1608</v>
      </c>
      <c r="I309" t="s">
        <v>1971</v>
      </c>
    </row>
    <row r="310" spans="2:9" x14ac:dyDescent="0.25">
      <c r="B310" t="s">
        <v>1979</v>
      </c>
      <c r="C310" t="s">
        <v>352</v>
      </c>
      <c r="D310" t="s">
        <v>1065</v>
      </c>
      <c r="E310" t="s">
        <v>1066</v>
      </c>
      <c r="F310">
        <v>108</v>
      </c>
      <c r="G310" t="s">
        <v>1998</v>
      </c>
      <c r="H310" t="s">
        <v>1608</v>
      </c>
      <c r="I310" t="s">
        <v>1971</v>
      </c>
    </row>
    <row r="311" spans="2:9" x14ac:dyDescent="0.25">
      <c r="B311" t="s">
        <v>1979</v>
      </c>
      <c r="C311" t="s">
        <v>352</v>
      </c>
      <c r="D311" t="s">
        <v>1380</v>
      </c>
      <c r="E311" t="s">
        <v>1381</v>
      </c>
      <c r="F311">
        <v>1120</v>
      </c>
      <c r="G311" t="s">
        <v>1998</v>
      </c>
      <c r="H311" t="s">
        <v>1608</v>
      </c>
      <c r="I311" t="s">
        <v>1971</v>
      </c>
    </row>
    <row r="312" spans="2:9" x14ac:dyDescent="0.25">
      <c r="B312" t="s">
        <v>1979</v>
      </c>
      <c r="C312" t="s">
        <v>352</v>
      </c>
      <c r="D312" t="s">
        <v>1380</v>
      </c>
      <c r="E312" t="s">
        <v>1381</v>
      </c>
      <c r="F312">
        <v>120</v>
      </c>
      <c r="G312" t="s">
        <v>1998</v>
      </c>
      <c r="H312" t="s">
        <v>1608</v>
      </c>
      <c r="I312" t="s">
        <v>1971</v>
      </c>
    </row>
    <row r="313" spans="2:9" x14ac:dyDescent="0.25">
      <c r="B313" t="s">
        <v>1979</v>
      </c>
      <c r="C313" t="s">
        <v>352</v>
      </c>
      <c r="D313" t="s">
        <v>1380</v>
      </c>
      <c r="E313" t="s">
        <v>1381</v>
      </c>
      <c r="F313">
        <v>760</v>
      </c>
      <c r="G313" t="s">
        <v>1998</v>
      </c>
      <c r="H313" t="s">
        <v>1608</v>
      </c>
      <c r="I313" t="s">
        <v>1971</v>
      </c>
    </row>
    <row r="314" spans="2:9" x14ac:dyDescent="0.25">
      <c r="B314" t="s">
        <v>1979</v>
      </c>
      <c r="C314" t="s">
        <v>11</v>
      </c>
      <c r="D314" t="s">
        <v>1388</v>
      </c>
      <c r="E314" t="s">
        <v>1389</v>
      </c>
      <c r="F314">
        <v>220</v>
      </c>
      <c r="G314" t="s">
        <v>1999</v>
      </c>
      <c r="H314" t="s">
        <v>1867</v>
      </c>
      <c r="I314" t="s">
        <v>1971</v>
      </c>
    </row>
    <row r="315" spans="2:9" x14ac:dyDescent="0.25">
      <c r="B315" t="s">
        <v>1979</v>
      </c>
      <c r="C315" t="s">
        <v>11</v>
      </c>
      <c r="D315" t="s">
        <v>1388</v>
      </c>
      <c r="E315" t="s">
        <v>1389</v>
      </c>
      <c r="F315">
        <v>80</v>
      </c>
      <c r="G315" t="s">
        <v>1999</v>
      </c>
      <c r="H315" t="s">
        <v>1867</v>
      </c>
      <c r="I315" t="s">
        <v>1971</v>
      </c>
    </row>
    <row r="316" spans="2:9" x14ac:dyDescent="0.25">
      <c r="B316" t="s">
        <v>1979</v>
      </c>
      <c r="C316" t="s">
        <v>11</v>
      </c>
      <c r="D316" t="s">
        <v>1388</v>
      </c>
      <c r="E316" t="s">
        <v>1389</v>
      </c>
      <c r="F316">
        <v>500</v>
      </c>
      <c r="G316" t="s">
        <v>1995</v>
      </c>
      <c r="H316" t="s">
        <v>1672</v>
      </c>
      <c r="I316" t="s">
        <v>1971</v>
      </c>
    </row>
    <row r="317" spans="2:9" x14ac:dyDescent="0.25">
      <c r="B317" t="s">
        <v>1979</v>
      </c>
      <c r="C317" t="s">
        <v>11</v>
      </c>
      <c r="D317" t="s">
        <v>1388</v>
      </c>
      <c r="E317" t="s">
        <v>1389</v>
      </c>
      <c r="F317">
        <v>380</v>
      </c>
      <c r="G317" t="s">
        <v>1997</v>
      </c>
      <c r="H317" t="s">
        <v>1815</v>
      </c>
      <c r="I317" t="s">
        <v>1971</v>
      </c>
    </row>
    <row r="318" spans="2:9" x14ac:dyDescent="0.25">
      <c r="B318" t="s">
        <v>1979</v>
      </c>
      <c r="C318" t="s">
        <v>11</v>
      </c>
      <c r="D318" t="s">
        <v>1388</v>
      </c>
      <c r="E318" t="s">
        <v>1389</v>
      </c>
      <c r="F318">
        <v>200</v>
      </c>
      <c r="G318" t="s">
        <v>2000</v>
      </c>
      <c r="H318" t="s">
        <v>1622</v>
      </c>
      <c r="I318" t="s">
        <v>1971</v>
      </c>
    </row>
    <row r="319" spans="2:9" x14ac:dyDescent="0.25">
      <c r="B319" t="s">
        <v>1979</v>
      </c>
      <c r="C319" t="s">
        <v>11</v>
      </c>
      <c r="D319" t="s">
        <v>1388</v>
      </c>
      <c r="E319" t="s">
        <v>1389</v>
      </c>
      <c r="F319">
        <v>10</v>
      </c>
      <c r="G319" t="s">
        <v>2545</v>
      </c>
      <c r="H319" t="s">
        <v>1624</v>
      </c>
      <c r="I319" t="s">
        <v>1971</v>
      </c>
    </row>
    <row r="320" spans="2:9" x14ac:dyDescent="0.25">
      <c r="B320" t="s">
        <v>1979</v>
      </c>
      <c r="C320" t="s">
        <v>623</v>
      </c>
      <c r="D320" t="s">
        <v>624</v>
      </c>
      <c r="E320" t="s">
        <v>625</v>
      </c>
      <c r="F320">
        <v>150</v>
      </c>
      <c r="G320" t="s">
        <v>2001</v>
      </c>
      <c r="H320" t="s">
        <v>1634</v>
      </c>
      <c r="I320" t="s">
        <v>1971</v>
      </c>
    </row>
    <row r="321" spans="2:9" x14ac:dyDescent="0.25">
      <c r="B321" t="s">
        <v>1979</v>
      </c>
      <c r="C321" t="s">
        <v>623</v>
      </c>
      <c r="D321" t="s">
        <v>624</v>
      </c>
      <c r="E321" t="s">
        <v>625</v>
      </c>
      <c r="F321">
        <v>300</v>
      </c>
      <c r="G321" t="s">
        <v>2001</v>
      </c>
      <c r="H321" t="s">
        <v>1634</v>
      </c>
      <c r="I321" t="s">
        <v>1971</v>
      </c>
    </row>
    <row r="322" spans="2:9" x14ac:dyDescent="0.25">
      <c r="B322" t="s">
        <v>1979</v>
      </c>
      <c r="C322" t="s">
        <v>52</v>
      </c>
      <c r="D322" t="s">
        <v>722</v>
      </c>
      <c r="E322" t="s">
        <v>723</v>
      </c>
      <c r="F322">
        <v>40</v>
      </c>
      <c r="G322" t="s">
        <v>2002</v>
      </c>
      <c r="H322" t="s">
        <v>1631</v>
      </c>
      <c r="I322" t="s">
        <v>1971</v>
      </c>
    </row>
    <row r="323" spans="2:9" x14ac:dyDescent="0.25">
      <c r="B323" t="s">
        <v>1979</v>
      </c>
      <c r="C323" t="s">
        <v>52</v>
      </c>
      <c r="D323" t="s">
        <v>722</v>
      </c>
      <c r="E323" t="s">
        <v>723</v>
      </c>
      <c r="F323">
        <v>20</v>
      </c>
      <c r="G323" t="s">
        <v>2003</v>
      </c>
      <c r="H323" t="s">
        <v>1653</v>
      </c>
      <c r="I323" t="s">
        <v>1971</v>
      </c>
    </row>
    <row r="324" spans="2:9" x14ac:dyDescent="0.25">
      <c r="B324" t="s">
        <v>1979</v>
      </c>
      <c r="C324" t="s">
        <v>715</v>
      </c>
      <c r="D324" t="s">
        <v>716</v>
      </c>
      <c r="E324" t="s">
        <v>717</v>
      </c>
      <c r="F324">
        <v>360</v>
      </c>
      <c r="G324" t="s">
        <v>2011</v>
      </c>
      <c r="H324" t="s">
        <v>1789</v>
      </c>
      <c r="I324" t="s">
        <v>1971</v>
      </c>
    </row>
    <row r="325" spans="2:9" x14ac:dyDescent="0.25">
      <c r="B325" t="s">
        <v>1979</v>
      </c>
      <c r="C325" t="s">
        <v>715</v>
      </c>
      <c r="D325" t="s">
        <v>716</v>
      </c>
      <c r="E325" t="s">
        <v>717</v>
      </c>
      <c r="F325">
        <v>15</v>
      </c>
      <c r="G325" t="s">
        <v>2546</v>
      </c>
      <c r="H325" t="s">
        <v>1634</v>
      </c>
      <c r="I325" t="s">
        <v>1971</v>
      </c>
    </row>
    <row r="326" spans="2:9" x14ac:dyDescent="0.25">
      <c r="B326" t="s">
        <v>1979</v>
      </c>
      <c r="C326" t="s">
        <v>585</v>
      </c>
      <c r="D326" t="s">
        <v>726</v>
      </c>
      <c r="E326" t="s">
        <v>727</v>
      </c>
      <c r="F326">
        <v>10</v>
      </c>
      <c r="G326" t="s">
        <v>2545</v>
      </c>
      <c r="H326" t="s">
        <v>1624</v>
      </c>
      <c r="I326" t="s">
        <v>1971</v>
      </c>
    </row>
    <row r="327" spans="2:9" x14ac:dyDescent="0.25">
      <c r="B327" t="s">
        <v>1979</v>
      </c>
      <c r="C327" t="s">
        <v>17</v>
      </c>
      <c r="D327" t="s">
        <v>607</v>
      </c>
      <c r="E327" t="s">
        <v>608</v>
      </c>
      <c r="F327">
        <v>200</v>
      </c>
      <c r="G327" t="s">
        <v>2143</v>
      </c>
      <c r="H327" t="s">
        <v>1658</v>
      </c>
      <c r="I327" t="s">
        <v>1971</v>
      </c>
    </row>
    <row r="328" spans="2:9" x14ac:dyDescent="0.25">
      <c r="B328" t="s">
        <v>1979</v>
      </c>
      <c r="C328" t="s">
        <v>17</v>
      </c>
      <c r="D328" t="s">
        <v>607</v>
      </c>
      <c r="E328" t="s">
        <v>608</v>
      </c>
      <c r="F328">
        <v>200</v>
      </c>
      <c r="G328" t="s">
        <v>2149</v>
      </c>
      <c r="H328" t="s">
        <v>1616</v>
      </c>
      <c r="I328" t="s">
        <v>1971</v>
      </c>
    </row>
    <row r="329" spans="2:9" x14ac:dyDescent="0.25">
      <c r="B329" t="s">
        <v>1979</v>
      </c>
      <c r="C329" t="s">
        <v>715</v>
      </c>
      <c r="D329" t="s">
        <v>716</v>
      </c>
      <c r="E329" t="s">
        <v>717</v>
      </c>
      <c r="F329">
        <v>1800</v>
      </c>
      <c r="G329" t="s">
        <v>2004</v>
      </c>
      <c r="H329" t="s">
        <v>1629</v>
      </c>
      <c r="I329" t="s">
        <v>1971</v>
      </c>
    </row>
    <row r="330" spans="2:9" x14ac:dyDescent="0.25">
      <c r="B330" t="s">
        <v>1979</v>
      </c>
      <c r="C330" t="s">
        <v>715</v>
      </c>
      <c r="D330" t="s">
        <v>716</v>
      </c>
      <c r="E330" t="s">
        <v>717</v>
      </c>
      <c r="F330">
        <v>1200</v>
      </c>
      <c r="G330" t="s">
        <v>2004</v>
      </c>
      <c r="H330" t="s">
        <v>1629</v>
      </c>
      <c r="I330" t="s">
        <v>1971</v>
      </c>
    </row>
    <row r="331" spans="2:9" x14ac:dyDescent="0.25">
      <c r="B331" t="s">
        <v>1979</v>
      </c>
      <c r="C331" t="s">
        <v>715</v>
      </c>
      <c r="D331" t="s">
        <v>716</v>
      </c>
      <c r="E331" t="s">
        <v>717</v>
      </c>
      <c r="F331">
        <v>480</v>
      </c>
      <c r="G331" t="s">
        <v>2005</v>
      </c>
      <c r="H331" t="s">
        <v>1610</v>
      </c>
      <c r="I331" t="s">
        <v>1971</v>
      </c>
    </row>
    <row r="332" spans="2:9" x14ac:dyDescent="0.25">
      <c r="B332" t="s">
        <v>1979</v>
      </c>
      <c r="C332" t="s">
        <v>715</v>
      </c>
      <c r="D332" t="s">
        <v>716</v>
      </c>
      <c r="E332" t="s">
        <v>717</v>
      </c>
      <c r="F332">
        <v>120</v>
      </c>
      <c r="G332" t="s">
        <v>2005</v>
      </c>
      <c r="H332" t="s">
        <v>1610</v>
      </c>
      <c r="I332" t="s">
        <v>1971</v>
      </c>
    </row>
    <row r="333" spans="2:9" x14ac:dyDescent="0.25">
      <c r="B333" t="s">
        <v>1979</v>
      </c>
      <c r="C333" t="s">
        <v>715</v>
      </c>
      <c r="D333" t="s">
        <v>716</v>
      </c>
      <c r="E333" t="s">
        <v>717</v>
      </c>
      <c r="F333">
        <v>4080</v>
      </c>
      <c r="G333" t="s">
        <v>2006</v>
      </c>
      <c r="H333" t="s">
        <v>1775</v>
      </c>
      <c r="I333" t="s">
        <v>1971</v>
      </c>
    </row>
    <row r="334" spans="2:9" x14ac:dyDescent="0.25">
      <c r="B334" t="s">
        <v>1979</v>
      </c>
      <c r="C334" t="s">
        <v>715</v>
      </c>
      <c r="D334" t="s">
        <v>716</v>
      </c>
      <c r="E334" t="s">
        <v>717</v>
      </c>
      <c r="F334">
        <v>480</v>
      </c>
      <c r="G334" t="s">
        <v>2007</v>
      </c>
      <c r="H334" t="s">
        <v>1631</v>
      </c>
      <c r="I334" t="s">
        <v>1971</v>
      </c>
    </row>
    <row r="335" spans="2:9" x14ac:dyDescent="0.25">
      <c r="B335" t="s">
        <v>1979</v>
      </c>
      <c r="C335" t="s">
        <v>715</v>
      </c>
      <c r="D335" t="s">
        <v>716</v>
      </c>
      <c r="E335" t="s">
        <v>717</v>
      </c>
      <c r="F335">
        <v>480</v>
      </c>
      <c r="G335" t="s">
        <v>2008</v>
      </c>
      <c r="H335" t="s">
        <v>1632</v>
      </c>
      <c r="I335" t="s">
        <v>1971</v>
      </c>
    </row>
    <row r="336" spans="2:9" x14ac:dyDescent="0.25">
      <c r="B336" t="s">
        <v>1979</v>
      </c>
      <c r="C336" t="s">
        <v>715</v>
      </c>
      <c r="D336" t="s">
        <v>716</v>
      </c>
      <c r="E336" t="s">
        <v>717</v>
      </c>
      <c r="F336">
        <v>600</v>
      </c>
      <c r="G336" t="s">
        <v>2009</v>
      </c>
      <c r="H336" t="s">
        <v>1706</v>
      </c>
      <c r="I336" t="s">
        <v>1971</v>
      </c>
    </row>
    <row r="337" spans="2:9" x14ac:dyDescent="0.25">
      <c r="B337" t="s">
        <v>1979</v>
      </c>
      <c r="C337" t="s">
        <v>715</v>
      </c>
      <c r="D337" t="s">
        <v>716</v>
      </c>
      <c r="E337" t="s">
        <v>717</v>
      </c>
      <c r="F337">
        <v>360</v>
      </c>
      <c r="G337" t="s">
        <v>2010</v>
      </c>
      <c r="H337" t="s">
        <v>1706</v>
      </c>
      <c r="I337" t="s">
        <v>1971</v>
      </c>
    </row>
    <row r="338" spans="2:9" x14ac:dyDescent="0.25">
      <c r="B338" t="s">
        <v>1979</v>
      </c>
      <c r="C338" t="s">
        <v>715</v>
      </c>
      <c r="D338" t="s">
        <v>716</v>
      </c>
      <c r="E338" t="s">
        <v>717</v>
      </c>
      <c r="F338">
        <v>960</v>
      </c>
      <c r="G338" t="s">
        <v>2012</v>
      </c>
      <c r="H338" t="s">
        <v>1632</v>
      </c>
      <c r="I338" t="s">
        <v>1971</v>
      </c>
    </row>
    <row r="339" spans="2:9" x14ac:dyDescent="0.25">
      <c r="B339" t="s">
        <v>1979</v>
      </c>
      <c r="C339" t="s">
        <v>715</v>
      </c>
      <c r="D339" t="s">
        <v>716</v>
      </c>
      <c r="E339" t="s">
        <v>717</v>
      </c>
      <c r="F339">
        <v>120</v>
      </c>
      <c r="G339" t="s">
        <v>2013</v>
      </c>
      <c r="H339" t="s">
        <v>1632</v>
      </c>
      <c r="I339" t="s">
        <v>1971</v>
      </c>
    </row>
    <row r="340" spans="2:9" x14ac:dyDescent="0.25">
      <c r="B340" t="s">
        <v>1979</v>
      </c>
      <c r="C340" t="s">
        <v>715</v>
      </c>
      <c r="D340" t="s">
        <v>716</v>
      </c>
      <c r="E340" t="s">
        <v>717</v>
      </c>
      <c r="F340">
        <v>480</v>
      </c>
      <c r="G340" t="s">
        <v>2014</v>
      </c>
      <c r="H340" t="s">
        <v>1632</v>
      </c>
      <c r="I340" t="s">
        <v>1971</v>
      </c>
    </row>
    <row r="341" spans="2:9" x14ac:dyDescent="0.25">
      <c r="B341" t="s">
        <v>1979</v>
      </c>
      <c r="C341" t="s">
        <v>715</v>
      </c>
      <c r="D341" t="s">
        <v>716</v>
      </c>
      <c r="E341" t="s">
        <v>717</v>
      </c>
      <c r="F341">
        <v>360</v>
      </c>
      <c r="G341" t="s">
        <v>2015</v>
      </c>
      <c r="H341" t="s">
        <v>1632</v>
      </c>
      <c r="I341" t="s">
        <v>1971</v>
      </c>
    </row>
    <row r="342" spans="2:9" x14ac:dyDescent="0.25">
      <c r="B342" t="s">
        <v>1979</v>
      </c>
      <c r="C342" t="s">
        <v>715</v>
      </c>
      <c r="D342" t="s">
        <v>716</v>
      </c>
      <c r="E342" t="s">
        <v>717</v>
      </c>
      <c r="F342">
        <v>600</v>
      </c>
      <c r="G342" t="s">
        <v>2016</v>
      </c>
      <c r="H342" t="s">
        <v>1632</v>
      </c>
      <c r="I342" t="s">
        <v>1971</v>
      </c>
    </row>
    <row r="343" spans="2:9" x14ac:dyDescent="0.25">
      <c r="B343" t="s">
        <v>1979</v>
      </c>
      <c r="C343" t="s">
        <v>715</v>
      </c>
      <c r="D343" t="s">
        <v>716</v>
      </c>
      <c r="E343" t="s">
        <v>717</v>
      </c>
      <c r="F343">
        <v>240</v>
      </c>
      <c r="G343" t="s">
        <v>2017</v>
      </c>
      <c r="H343" t="s">
        <v>1632</v>
      </c>
      <c r="I343" t="s">
        <v>1971</v>
      </c>
    </row>
    <row r="344" spans="2:9" x14ac:dyDescent="0.25">
      <c r="B344" t="s">
        <v>1979</v>
      </c>
      <c r="C344" t="s">
        <v>715</v>
      </c>
      <c r="D344" t="s">
        <v>716</v>
      </c>
      <c r="E344" t="s">
        <v>717</v>
      </c>
      <c r="F344">
        <v>840</v>
      </c>
      <c r="G344" t="s">
        <v>2018</v>
      </c>
      <c r="H344" t="s">
        <v>1632</v>
      </c>
      <c r="I344" t="s">
        <v>1971</v>
      </c>
    </row>
    <row r="345" spans="2:9" x14ac:dyDescent="0.25">
      <c r="B345" t="s">
        <v>1979</v>
      </c>
      <c r="C345" t="s">
        <v>715</v>
      </c>
      <c r="D345" t="s">
        <v>716</v>
      </c>
      <c r="E345" t="s">
        <v>717</v>
      </c>
      <c r="F345">
        <v>4440</v>
      </c>
      <c r="G345" t="s">
        <v>2018</v>
      </c>
      <c r="H345" t="s">
        <v>1632</v>
      </c>
      <c r="I345" t="s">
        <v>1971</v>
      </c>
    </row>
    <row r="346" spans="2:9" x14ac:dyDescent="0.25">
      <c r="B346" t="s">
        <v>1979</v>
      </c>
      <c r="C346" t="s">
        <v>715</v>
      </c>
      <c r="D346" t="s">
        <v>716</v>
      </c>
      <c r="E346" t="s">
        <v>717</v>
      </c>
      <c r="F346">
        <v>120</v>
      </c>
      <c r="G346" t="s">
        <v>2019</v>
      </c>
      <c r="H346" t="s">
        <v>1632</v>
      </c>
      <c r="I346" t="s">
        <v>1971</v>
      </c>
    </row>
    <row r="347" spans="2:9" x14ac:dyDescent="0.25">
      <c r="B347" t="s">
        <v>1979</v>
      </c>
      <c r="C347" t="s">
        <v>715</v>
      </c>
      <c r="D347" t="s">
        <v>716</v>
      </c>
      <c r="E347" t="s">
        <v>717</v>
      </c>
      <c r="F347">
        <v>720</v>
      </c>
      <c r="G347" t="s">
        <v>2020</v>
      </c>
      <c r="H347" t="s">
        <v>1632</v>
      </c>
      <c r="I347" t="s">
        <v>1971</v>
      </c>
    </row>
    <row r="348" spans="2:9" x14ac:dyDescent="0.25">
      <c r="B348" t="s">
        <v>1979</v>
      </c>
      <c r="C348" t="s">
        <v>715</v>
      </c>
      <c r="D348" t="s">
        <v>716</v>
      </c>
      <c r="E348" t="s">
        <v>717</v>
      </c>
      <c r="F348">
        <v>360</v>
      </c>
      <c r="G348" t="s">
        <v>2021</v>
      </c>
      <c r="H348" t="s">
        <v>1632</v>
      </c>
      <c r="I348" t="s">
        <v>1971</v>
      </c>
    </row>
    <row r="349" spans="2:9" x14ac:dyDescent="0.25">
      <c r="B349" t="s">
        <v>1979</v>
      </c>
      <c r="C349" t="s">
        <v>715</v>
      </c>
      <c r="D349" t="s">
        <v>716</v>
      </c>
      <c r="E349" t="s">
        <v>717</v>
      </c>
      <c r="F349">
        <v>240</v>
      </c>
      <c r="G349" t="s">
        <v>2022</v>
      </c>
      <c r="H349" t="s">
        <v>1632</v>
      </c>
      <c r="I349" t="s">
        <v>1971</v>
      </c>
    </row>
    <row r="350" spans="2:9" x14ac:dyDescent="0.25">
      <c r="B350" t="s">
        <v>1979</v>
      </c>
      <c r="C350" t="s">
        <v>17</v>
      </c>
      <c r="D350" t="s">
        <v>255</v>
      </c>
      <c r="E350" t="s">
        <v>256</v>
      </c>
      <c r="F350">
        <v>100</v>
      </c>
      <c r="G350" t="s">
        <v>2038</v>
      </c>
      <c r="H350" t="s">
        <v>1660</v>
      </c>
      <c r="I350" t="s">
        <v>1971</v>
      </c>
    </row>
    <row r="351" spans="2:9" x14ac:dyDescent="0.25">
      <c r="B351" t="s">
        <v>1979</v>
      </c>
      <c r="C351" t="s">
        <v>17</v>
      </c>
      <c r="D351" t="s">
        <v>255</v>
      </c>
      <c r="E351" t="s">
        <v>256</v>
      </c>
      <c r="F351">
        <v>100</v>
      </c>
      <c r="G351" t="s">
        <v>2143</v>
      </c>
      <c r="H351" t="s">
        <v>1658</v>
      </c>
      <c r="I351" t="s">
        <v>1971</v>
      </c>
    </row>
    <row r="352" spans="2:9" x14ac:dyDescent="0.25">
      <c r="B352" t="s">
        <v>1979</v>
      </c>
      <c r="C352" t="s">
        <v>17</v>
      </c>
      <c r="D352" t="s">
        <v>255</v>
      </c>
      <c r="E352" t="s">
        <v>256</v>
      </c>
      <c r="F352">
        <v>2000</v>
      </c>
      <c r="G352" t="s">
        <v>2144</v>
      </c>
      <c r="H352" t="s">
        <v>1739</v>
      </c>
      <c r="I352" t="s">
        <v>1971</v>
      </c>
    </row>
    <row r="353" spans="2:9" x14ac:dyDescent="0.25">
      <c r="B353" t="s">
        <v>1979</v>
      </c>
      <c r="C353" t="s">
        <v>17</v>
      </c>
      <c r="D353" t="s">
        <v>255</v>
      </c>
      <c r="E353" t="s">
        <v>256</v>
      </c>
      <c r="F353">
        <v>1500</v>
      </c>
      <c r="G353" t="s">
        <v>1989</v>
      </c>
      <c r="H353" t="s">
        <v>1806</v>
      </c>
      <c r="I353" t="s">
        <v>1971</v>
      </c>
    </row>
    <row r="354" spans="2:9" x14ac:dyDescent="0.25">
      <c r="B354" t="s">
        <v>1979</v>
      </c>
      <c r="C354" t="s">
        <v>17</v>
      </c>
      <c r="D354" t="s">
        <v>455</v>
      </c>
      <c r="E354" t="s">
        <v>456</v>
      </c>
      <c r="F354">
        <v>60</v>
      </c>
      <c r="G354" t="s">
        <v>2144</v>
      </c>
      <c r="H354" t="s">
        <v>1739</v>
      </c>
      <c r="I354" t="s">
        <v>1971</v>
      </c>
    </row>
    <row r="355" spans="2:9" x14ac:dyDescent="0.25">
      <c r="B355" t="s">
        <v>1979</v>
      </c>
      <c r="C355" t="s">
        <v>17</v>
      </c>
      <c r="D355" t="s">
        <v>455</v>
      </c>
      <c r="E355" t="s">
        <v>456</v>
      </c>
      <c r="F355">
        <v>120</v>
      </c>
      <c r="G355" t="s">
        <v>2149</v>
      </c>
      <c r="H355" t="s">
        <v>1616</v>
      </c>
      <c r="I355" t="s">
        <v>1971</v>
      </c>
    </row>
    <row r="356" spans="2:9" x14ac:dyDescent="0.25">
      <c r="B356" t="s">
        <v>1979</v>
      </c>
      <c r="C356" t="s">
        <v>49</v>
      </c>
      <c r="D356" t="s">
        <v>1008</v>
      </c>
      <c r="E356" t="s">
        <v>1009</v>
      </c>
      <c r="F356">
        <v>165</v>
      </c>
      <c r="G356" t="s">
        <v>2547</v>
      </c>
      <c r="H356" t="s">
        <v>1786</v>
      </c>
      <c r="I356" t="s">
        <v>1971</v>
      </c>
    </row>
    <row r="357" spans="2:9" x14ac:dyDescent="0.25">
      <c r="B357" t="s">
        <v>1979</v>
      </c>
      <c r="C357" t="s">
        <v>49</v>
      </c>
      <c r="D357" t="s">
        <v>1008</v>
      </c>
      <c r="E357" t="s">
        <v>1009</v>
      </c>
      <c r="F357">
        <v>1835</v>
      </c>
      <c r="G357" t="s">
        <v>2547</v>
      </c>
      <c r="H357" t="s">
        <v>1786</v>
      </c>
      <c r="I357" t="s">
        <v>1971</v>
      </c>
    </row>
    <row r="358" spans="2:9" x14ac:dyDescent="0.25">
      <c r="B358" t="s">
        <v>1979</v>
      </c>
      <c r="C358" t="s">
        <v>49</v>
      </c>
      <c r="D358" t="s">
        <v>1008</v>
      </c>
      <c r="E358" t="s">
        <v>1009</v>
      </c>
      <c r="F358">
        <v>1000</v>
      </c>
      <c r="G358" t="s">
        <v>2548</v>
      </c>
      <c r="H358" t="s">
        <v>1624</v>
      </c>
      <c r="I358" t="s">
        <v>1971</v>
      </c>
    </row>
    <row r="359" spans="2:9" x14ac:dyDescent="0.25">
      <c r="B359" t="s">
        <v>1979</v>
      </c>
      <c r="C359" t="s">
        <v>131</v>
      </c>
      <c r="D359" t="s">
        <v>634</v>
      </c>
      <c r="E359" t="s">
        <v>635</v>
      </c>
      <c r="F359">
        <v>20</v>
      </c>
      <c r="G359" t="s">
        <v>2023</v>
      </c>
      <c r="H359" t="s">
        <v>1616</v>
      </c>
      <c r="I359" t="s">
        <v>1971</v>
      </c>
    </row>
    <row r="360" spans="2:9" x14ac:dyDescent="0.25">
      <c r="B360" t="s">
        <v>1979</v>
      </c>
      <c r="C360" t="s">
        <v>131</v>
      </c>
      <c r="D360" t="s">
        <v>634</v>
      </c>
      <c r="E360" t="s">
        <v>635</v>
      </c>
      <c r="F360">
        <v>10</v>
      </c>
      <c r="G360" t="s">
        <v>2024</v>
      </c>
      <c r="H360" t="s">
        <v>1793</v>
      </c>
      <c r="I360" t="s">
        <v>1971</v>
      </c>
    </row>
    <row r="361" spans="2:9" x14ac:dyDescent="0.25">
      <c r="B361" t="s">
        <v>1979</v>
      </c>
      <c r="C361" t="s">
        <v>131</v>
      </c>
      <c r="D361" t="s">
        <v>632</v>
      </c>
      <c r="E361" t="s">
        <v>633</v>
      </c>
      <c r="F361">
        <v>20</v>
      </c>
      <c r="G361" t="s">
        <v>2025</v>
      </c>
      <c r="H361" t="s">
        <v>1672</v>
      </c>
      <c r="I361" t="s">
        <v>1971</v>
      </c>
    </row>
    <row r="362" spans="2:9" x14ac:dyDescent="0.25">
      <c r="B362" t="s">
        <v>1979</v>
      </c>
      <c r="C362" t="s">
        <v>131</v>
      </c>
      <c r="D362" t="s">
        <v>632</v>
      </c>
      <c r="E362" t="s">
        <v>633</v>
      </c>
      <c r="F362">
        <v>40</v>
      </c>
      <c r="G362" t="s">
        <v>2026</v>
      </c>
      <c r="H362" t="s">
        <v>1643</v>
      </c>
      <c r="I362" t="s">
        <v>1971</v>
      </c>
    </row>
    <row r="363" spans="2:9" x14ac:dyDescent="0.25">
      <c r="B363" t="s">
        <v>1979</v>
      </c>
      <c r="C363" t="s">
        <v>131</v>
      </c>
      <c r="D363" t="s">
        <v>632</v>
      </c>
      <c r="E363" t="s">
        <v>633</v>
      </c>
      <c r="F363">
        <v>20</v>
      </c>
      <c r="G363" t="s">
        <v>2024</v>
      </c>
      <c r="H363" t="s">
        <v>1793</v>
      </c>
      <c r="I363" t="s">
        <v>1971</v>
      </c>
    </row>
    <row r="364" spans="2:9" x14ac:dyDescent="0.25">
      <c r="B364" t="s">
        <v>1979</v>
      </c>
      <c r="C364" t="s">
        <v>131</v>
      </c>
      <c r="D364" t="s">
        <v>632</v>
      </c>
      <c r="E364" t="s">
        <v>633</v>
      </c>
      <c r="F364">
        <v>20</v>
      </c>
      <c r="G364" t="s">
        <v>2027</v>
      </c>
      <c r="H364" t="s">
        <v>1653</v>
      </c>
      <c r="I364" t="s">
        <v>1971</v>
      </c>
    </row>
    <row r="365" spans="2:9" x14ac:dyDescent="0.25">
      <c r="B365" t="s">
        <v>1979</v>
      </c>
      <c r="C365" t="s">
        <v>25</v>
      </c>
      <c r="D365" t="s">
        <v>470</v>
      </c>
      <c r="E365" t="s">
        <v>471</v>
      </c>
      <c r="F365">
        <v>136</v>
      </c>
      <c r="G365" t="s">
        <v>2544</v>
      </c>
      <c r="H365" t="s">
        <v>1742</v>
      </c>
      <c r="I365" t="s">
        <v>1971</v>
      </c>
    </row>
    <row r="366" spans="2:9" x14ac:dyDescent="0.25">
      <c r="B366" t="s">
        <v>1979</v>
      </c>
      <c r="C366" t="s">
        <v>25</v>
      </c>
      <c r="D366" t="s">
        <v>470</v>
      </c>
      <c r="E366" t="s">
        <v>471</v>
      </c>
      <c r="F366">
        <v>60</v>
      </c>
      <c r="G366" t="s">
        <v>2171</v>
      </c>
      <c r="H366" t="s">
        <v>1663</v>
      </c>
      <c r="I366" t="s">
        <v>1971</v>
      </c>
    </row>
    <row r="367" spans="2:9" x14ac:dyDescent="0.25">
      <c r="B367" t="s">
        <v>1979</v>
      </c>
      <c r="C367" t="s">
        <v>25</v>
      </c>
      <c r="D367" t="s">
        <v>470</v>
      </c>
      <c r="E367" t="s">
        <v>471</v>
      </c>
      <c r="F367">
        <v>96</v>
      </c>
      <c r="G367" t="s">
        <v>2172</v>
      </c>
      <c r="H367" t="s">
        <v>1624</v>
      </c>
      <c r="I367" t="s">
        <v>1971</v>
      </c>
    </row>
    <row r="368" spans="2:9" x14ac:dyDescent="0.25">
      <c r="B368" t="s">
        <v>1979</v>
      </c>
      <c r="C368" t="s">
        <v>25</v>
      </c>
      <c r="D368" t="s">
        <v>470</v>
      </c>
      <c r="E368" t="s">
        <v>471</v>
      </c>
      <c r="F368">
        <v>10</v>
      </c>
      <c r="G368" t="s">
        <v>2549</v>
      </c>
      <c r="H368" t="s">
        <v>1712</v>
      </c>
      <c r="I368" t="s">
        <v>1971</v>
      </c>
    </row>
    <row r="369" spans="2:9" x14ac:dyDescent="0.25">
      <c r="B369" t="s">
        <v>1979</v>
      </c>
      <c r="C369" t="s">
        <v>25</v>
      </c>
      <c r="D369" t="s">
        <v>470</v>
      </c>
      <c r="E369" t="s">
        <v>471</v>
      </c>
      <c r="F369">
        <v>300</v>
      </c>
      <c r="G369" t="s">
        <v>2173</v>
      </c>
      <c r="H369" t="s">
        <v>1712</v>
      </c>
      <c r="I369" t="s">
        <v>1971</v>
      </c>
    </row>
    <row r="370" spans="2:9" x14ac:dyDescent="0.25">
      <c r="B370" t="s">
        <v>1979</v>
      </c>
      <c r="C370" t="s">
        <v>25</v>
      </c>
      <c r="D370" t="s">
        <v>470</v>
      </c>
      <c r="E370" t="s">
        <v>471</v>
      </c>
      <c r="F370">
        <v>36</v>
      </c>
      <c r="G370" t="s">
        <v>2176</v>
      </c>
      <c r="H370" t="s">
        <v>1653</v>
      </c>
      <c r="I370" t="s">
        <v>1971</v>
      </c>
    </row>
    <row r="371" spans="2:9" x14ac:dyDescent="0.25">
      <c r="B371" t="s">
        <v>1979</v>
      </c>
      <c r="C371" t="s">
        <v>25</v>
      </c>
      <c r="D371" t="s">
        <v>470</v>
      </c>
      <c r="E371" t="s">
        <v>471</v>
      </c>
      <c r="F371">
        <v>48</v>
      </c>
      <c r="G371" t="s">
        <v>2121</v>
      </c>
      <c r="H371" t="s">
        <v>1840</v>
      </c>
      <c r="I371" t="s">
        <v>1971</v>
      </c>
    </row>
    <row r="372" spans="2:9" x14ac:dyDescent="0.25">
      <c r="B372" t="s">
        <v>1979</v>
      </c>
      <c r="C372" t="s">
        <v>25</v>
      </c>
      <c r="D372" t="s">
        <v>470</v>
      </c>
      <c r="E372" t="s">
        <v>471</v>
      </c>
      <c r="F372">
        <v>96</v>
      </c>
      <c r="G372" t="s">
        <v>2206</v>
      </c>
      <c r="H372" t="s">
        <v>1840</v>
      </c>
      <c r="I372" t="s">
        <v>1971</v>
      </c>
    </row>
    <row r="373" spans="2:9" x14ac:dyDescent="0.25">
      <c r="B373" t="s">
        <v>1979</v>
      </c>
      <c r="C373" t="s">
        <v>25</v>
      </c>
      <c r="D373" t="s">
        <v>470</v>
      </c>
      <c r="E373" t="s">
        <v>471</v>
      </c>
      <c r="F373">
        <v>96</v>
      </c>
      <c r="G373" t="s">
        <v>2207</v>
      </c>
      <c r="H373" t="s">
        <v>1806</v>
      </c>
      <c r="I373" t="s">
        <v>1971</v>
      </c>
    </row>
    <row r="374" spans="2:9" x14ac:dyDescent="0.25">
      <c r="B374" t="s">
        <v>1979</v>
      </c>
      <c r="C374" t="s">
        <v>25</v>
      </c>
      <c r="D374" t="s">
        <v>470</v>
      </c>
      <c r="E374" t="s">
        <v>471</v>
      </c>
      <c r="F374">
        <v>24</v>
      </c>
      <c r="G374" t="s">
        <v>2208</v>
      </c>
      <c r="H374" t="s">
        <v>1646</v>
      </c>
      <c r="I374" t="s">
        <v>1971</v>
      </c>
    </row>
    <row r="375" spans="2:9" x14ac:dyDescent="0.25">
      <c r="B375" t="s">
        <v>1979</v>
      </c>
      <c r="C375" t="s">
        <v>25</v>
      </c>
      <c r="D375" t="s">
        <v>470</v>
      </c>
      <c r="E375" t="s">
        <v>471</v>
      </c>
      <c r="F375">
        <v>12</v>
      </c>
      <c r="G375" t="s">
        <v>2550</v>
      </c>
      <c r="H375" t="s">
        <v>1681</v>
      </c>
      <c r="I375" t="s">
        <v>1971</v>
      </c>
    </row>
    <row r="376" spans="2:9" x14ac:dyDescent="0.25">
      <c r="B376" t="s">
        <v>1979</v>
      </c>
      <c r="C376" t="s">
        <v>25</v>
      </c>
      <c r="D376" t="s">
        <v>470</v>
      </c>
      <c r="E376" t="s">
        <v>471</v>
      </c>
      <c r="F376">
        <v>24</v>
      </c>
      <c r="G376" t="s">
        <v>2039</v>
      </c>
      <c r="H376" t="s">
        <v>1616</v>
      </c>
      <c r="I376" t="s">
        <v>1971</v>
      </c>
    </row>
    <row r="377" spans="2:9" x14ac:dyDescent="0.25">
      <c r="B377" t="s">
        <v>1979</v>
      </c>
      <c r="C377" t="s">
        <v>25</v>
      </c>
      <c r="D377" t="s">
        <v>470</v>
      </c>
      <c r="E377" t="s">
        <v>471</v>
      </c>
      <c r="F377">
        <v>24</v>
      </c>
      <c r="G377" t="s">
        <v>2181</v>
      </c>
      <c r="H377" t="s">
        <v>1793</v>
      </c>
      <c r="I377" t="s">
        <v>1971</v>
      </c>
    </row>
    <row r="378" spans="2:9" x14ac:dyDescent="0.25">
      <c r="B378" t="s">
        <v>1979</v>
      </c>
      <c r="C378" t="s">
        <v>25</v>
      </c>
      <c r="D378" t="s">
        <v>470</v>
      </c>
      <c r="E378" t="s">
        <v>471</v>
      </c>
      <c r="F378">
        <v>24</v>
      </c>
      <c r="G378" t="s">
        <v>2209</v>
      </c>
      <c r="H378" t="s">
        <v>1605</v>
      </c>
      <c r="I378" t="s">
        <v>1971</v>
      </c>
    </row>
    <row r="379" spans="2:9" x14ac:dyDescent="0.25">
      <c r="B379" t="s">
        <v>1979</v>
      </c>
      <c r="C379" t="s">
        <v>25</v>
      </c>
      <c r="D379" t="s">
        <v>470</v>
      </c>
      <c r="E379" t="s">
        <v>471</v>
      </c>
      <c r="F379">
        <v>96</v>
      </c>
      <c r="G379" t="s">
        <v>2210</v>
      </c>
      <c r="H379" t="s">
        <v>1606</v>
      </c>
      <c r="I379" t="s">
        <v>1971</v>
      </c>
    </row>
    <row r="380" spans="2:9" x14ac:dyDescent="0.25">
      <c r="B380" t="s">
        <v>1979</v>
      </c>
      <c r="C380" t="s">
        <v>25</v>
      </c>
      <c r="D380" t="s">
        <v>470</v>
      </c>
      <c r="E380" t="s">
        <v>471</v>
      </c>
      <c r="F380">
        <v>300</v>
      </c>
      <c r="G380" t="s">
        <v>2194</v>
      </c>
      <c r="H380" t="s">
        <v>2148</v>
      </c>
      <c r="I380" t="s">
        <v>1971</v>
      </c>
    </row>
    <row r="381" spans="2:9" x14ac:dyDescent="0.25">
      <c r="B381" t="s">
        <v>1979</v>
      </c>
      <c r="C381" t="s">
        <v>25</v>
      </c>
      <c r="D381" t="s">
        <v>470</v>
      </c>
      <c r="E381" t="s">
        <v>471</v>
      </c>
      <c r="F381">
        <v>48</v>
      </c>
      <c r="G381" t="s">
        <v>2175</v>
      </c>
      <c r="H381" t="s">
        <v>1653</v>
      </c>
      <c r="I381" t="s">
        <v>1971</v>
      </c>
    </row>
    <row r="382" spans="2:9" x14ac:dyDescent="0.25">
      <c r="B382" t="s">
        <v>1979</v>
      </c>
      <c r="C382" t="s">
        <v>25</v>
      </c>
      <c r="D382" t="s">
        <v>470</v>
      </c>
      <c r="E382" t="s">
        <v>471</v>
      </c>
      <c r="F382">
        <v>48</v>
      </c>
      <c r="G382" t="s">
        <v>2078</v>
      </c>
      <c r="H382" t="s">
        <v>1634</v>
      </c>
      <c r="I382" t="s">
        <v>1971</v>
      </c>
    </row>
    <row r="383" spans="2:9" x14ac:dyDescent="0.25">
      <c r="B383" t="s">
        <v>1979</v>
      </c>
      <c r="C383" t="s">
        <v>25</v>
      </c>
      <c r="D383" t="s">
        <v>470</v>
      </c>
      <c r="E383" t="s">
        <v>471</v>
      </c>
      <c r="F383">
        <v>24</v>
      </c>
      <c r="G383" t="s">
        <v>2211</v>
      </c>
      <c r="H383" t="s">
        <v>1634</v>
      </c>
      <c r="I383" t="s">
        <v>1971</v>
      </c>
    </row>
    <row r="384" spans="2:9" x14ac:dyDescent="0.25">
      <c r="B384" t="s">
        <v>1979</v>
      </c>
      <c r="C384" t="s">
        <v>25</v>
      </c>
      <c r="D384" t="s">
        <v>470</v>
      </c>
      <c r="E384" t="s">
        <v>471</v>
      </c>
      <c r="F384">
        <v>48</v>
      </c>
      <c r="G384" t="s">
        <v>2079</v>
      </c>
      <c r="H384" t="s">
        <v>1739</v>
      </c>
      <c r="I384" t="s">
        <v>1971</v>
      </c>
    </row>
    <row r="385" spans="2:9" x14ac:dyDescent="0.25">
      <c r="B385" t="s">
        <v>1979</v>
      </c>
      <c r="C385" t="s">
        <v>25</v>
      </c>
      <c r="D385" t="s">
        <v>470</v>
      </c>
      <c r="E385" t="s">
        <v>471</v>
      </c>
      <c r="F385">
        <v>120</v>
      </c>
      <c r="G385" t="s">
        <v>2144</v>
      </c>
      <c r="H385" t="s">
        <v>1739</v>
      </c>
      <c r="I385" t="s">
        <v>1971</v>
      </c>
    </row>
    <row r="386" spans="2:9" x14ac:dyDescent="0.25">
      <c r="B386" t="s">
        <v>1979</v>
      </c>
      <c r="C386" t="s">
        <v>25</v>
      </c>
      <c r="D386" t="s">
        <v>470</v>
      </c>
      <c r="E386" t="s">
        <v>471</v>
      </c>
      <c r="F386">
        <v>96</v>
      </c>
      <c r="G386" t="s">
        <v>2212</v>
      </c>
      <c r="H386" t="s">
        <v>1786</v>
      </c>
      <c r="I386" t="s">
        <v>1971</v>
      </c>
    </row>
    <row r="387" spans="2:9" x14ac:dyDescent="0.25">
      <c r="B387" t="s">
        <v>1979</v>
      </c>
      <c r="C387" t="s">
        <v>25</v>
      </c>
      <c r="D387" t="s">
        <v>470</v>
      </c>
      <c r="E387" t="s">
        <v>471</v>
      </c>
      <c r="F387">
        <v>1</v>
      </c>
      <c r="G387" t="s">
        <v>2551</v>
      </c>
      <c r="H387" t="s">
        <v>1786</v>
      </c>
      <c r="I387" t="s">
        <v>1971</v>
      </c>
    </row>
    <row r="388" spans="2:9" x14ac:dyDescent="0.25">
      <c r="B388" t="s">
        <v>1979</v>
      </c>
      <c r="C388" t="s">
        <v>25</v>
      </c>
      <c r="D388" t="s">
        <v>470</v>
      </c>
      <c r="E388" t="s">
        <v>471</v>
      </c>
      <c r="F388">
        <v>60</v>
      </c>
      <c r="G388" t="s">
        <v>2213</v>
      </c>
      <c r="H388" t="s">
        <v>1706</v>
      </c>
      <c r="I388" t="s">
        <v>1971</v>
      </c>
    </row>
    <row r="389" spans="2:9" x14ac:dyDescent="0.25">
      <c r="B389" t="s">
        <v>1979</v>
      </c>
      <c r="C389" t="s">
        <v>25</v>
      </c>
      <c r="D389" t="s">
        <v>470</v>
      </c>
      <c r="E389" t="s">
        <v>471</v>
      </c>
      <c r="F389">
        <v>8</v>
      </c>
      <c r="G389" t="s">
        <v>2552</v>
      </c>
      <c r="H389" t="s">
        <v>1706</v>
      </c>
      <c r="I389" t="s">
        <v>1971</v>
      </c>
    </row>
    <row r="390" spans="2:9" x14ac:dyDescent="0.25">
      <c r="B390" t="s">
        <v>1979</v>
      </c>
      <c r="C390" t="s">
        <v>25</v>
      </c>
      <c r="D390" t="s">
        <v>470</v>
      </c>
      <c r="E390" t="s">
        <v>471</v>
      </c>
      <c r="F390">
        <v>24</v>
      </c>
      <c r="G390" t="s">
        <v>2100</v>
      </c>
      <c r="H390" t="s">
        <v>1789</v>
      </c>
      <c r="I390" t="s">
        <v>1971</v>
      </c>
    </row>
    <row r="391" spans="2:9" x14ac:dyDescent="0.25">
      <c r="B391" t="s">
        <v>1979</v>
      </c>
      <c r="C391" t="s">
        <v>25</v>
      </c>
      <c r="D391" t="s">
        <v>470</v>
      </c>
      <c r="E391" t="s">
        <v>471</v>
      </c>
      <c r="F391">
        <v>2</v>
      </c>
      <c r="G391" t="s">
        <v>2214</v>
      </c>
      <c r="H391" t="s">
        <v>1640</v>
      </c>
      <c r="I391" t="s">
        <v>1971</v>
      </c>
    </row>
    <row r="392" spans="2:9" x14ac:dyDescent="0.25">
      <c r="B392" t="s">
        <v>1979</v>
      </c>
      <c r="C392" t="s">
        <v>25</v>
      </c>
      <c r="D392" t="s">
        <v>470</v>
      </c>
      <c r="E392" t="s">
        <v>471</v>
      </c>
      <c r="F392">
        <v>12</v>
      </c>
      <c r="G392" t="s">
        <v>2215</v>
      </c>
      <c r="H392" t="s">
        <v>1779</v>
      </c>
      <c r="I392" t="s">
        <v>1971</v>
      </c>
    </row>
    <row r="393" spans="2:9" x14ac:dyDescent="0.25">
      <c r="B393" t="s">
        <v>1979</v>
      </c>
      <c r="C393" t="s">
        <v>25</v>
      </c>
      <c r="D393" t="s">
        <v>470</v>
      </c>
      <c r="E393" t="s">
        <v>471</v>
      </c>
      <c r="F393">
        <v>12</v>
      </c>
      <c r="G393" t="s">
        <v>2099</v>
      </c>
      <c r="H393" t="s">
        <v>1779</v>
      </c>
      <c r="I393" t="s">
        <v>1971</v>
      </c>
    </row>
    <row r="394" spans="2:9" x14ac:dyDescent="0.25">
      <c r="B394" t="s">
        <v>1979</v>
      </c>
      <c r="C394" t="s">
        <v>25</v>
      </c>
      <c r="D394" t="s">
        <v>470</v>
      </c>
      <c r="E394" t="s">
        <v>471</v>
      </c>
      <c r="F394">
        <v>360</v>
      </c>
      <c r="G394" t="s">
        <v>2216</v>
      </c>
      <c r="H394" t="s">
        <v>1775</v>
      </c>
      <c r="I394" t="s">
        <v>1971</v>
      </c>
    </row>
    <row r="395" spans="2:9" x14ac:dyDescent="0.25">
      <c r="B395" t="s">
        <v>1979</v>
      </c>
      <c r="C395" t="s">
        <v>25</v>
      </c>
      <c r="D395" t="s">
        <v>470</v>
      </c>
      <c r="E395" t="s">
        <v>471</v>
      </c>
      <c r="F395">
        <v>14</v>
      </c>
      <c r="G395" t="s">
        <v>2038</v>
      </c>
      <c r="H395" t="s">
        <v>1660</v>
      </c>
      <c r="I395" t="s">
        <v>1971</v>
      </c>
    </row>
    <row r="396" spans="2:9" x14ac:dyDescent="0.25">
      <c r="B396" t="s">
        <v>1979</v>
      </c>
      <c r="C396" t="s">
        <v>25</v>
      </c>
      <c r="D396" t="s">
        <v>470</v>
      </c>
      <c r="E396" t="s">
        <v>471</v>
      </c>
      <c r="F396">
        <v>30</v>
      </c>
      <c r="G396" t="s">
        <v>2038</v>
      </c>
      <c r="H396" t="s">
        <v>1660</v>
      </c>
      <c r="I396" t="s">
        <v>1971</v>
      </c>
    </row>
    <row r="397" spans="2:9" x14ac:dyDescent="0.25">
      <c r="B397" t="s">
        <v>1979</v>
      </c>
      <c r="C397" t="s">
        <v>25</v>
      </c>
      <c r="D397" t="s">
        <v>470</v>
      </c>
      <c r="E397" t="s">
        <v>471</v>
      </c>
      <c r="F397">
        <v>16</v>
      </c>
      <c r="G397" t="s">
        <v>2038</v>
      </c>
      <c r="H397" t="s">
        <v>1660</v>
      </c>
      <c r="I397" t="s">
        <v>1971</v>
      </c>
    </row>
    <row r="398" spans="2:9" x14ac:dyDescent="0.25">
      <c r="B398" t="s">
        <v>1979</v>
      </c>
      <c r="C398" t="s">
        <v>25</v>
      </c>
      <c r="D398" t="s">
        <v>470</v>
      </c>
      <c r="E398" t="s">
        <v>471</v>
      </c>
      <c r="F398">
        <v>12</v>
      </c>
      <c r="G398" t="s">
        <v>2217</v>
      </c>
      <c r="H398" t="s">
        <v>1643</v>
      </c>
      <c r="I398" t="s">
        <v>1971</v>
      </c>
    </row>
    <row r="399" spans="2:9" x14ac:dyDescent="0.25">
      <c r="B399" t="s">
        <v>1979</v>
      </c>
      <c r="C399" t="s">
        <v>25</v>
      </c>
      <c r="D399" t="s">
        <v>470</v>
      </c>
      <c r="E399" t="s">
        <v>471</v>
      </c>
      <c r="F399">
        <v>24</v>
      </c>
      <c r="G399" t="s">
        <v>2002</v>
      </c>
      <c r="H399" t="s">
        <v>1631</v>
      </c>
      <c r="I399" t="s">
        <v>1971</v>
      </c>
    </row>
    <row r="400" spans="2:9" x14ac:dyDescent="0.25">
      <c r="B400" t="s">
        <v>1979</v>
      </c>
      <c r="C400" t="s">
        <v>25</v>
      </c>
      <c r="D400" t="s">
        <v>470</v>
      </c>
      <c r="E400" t="s">
        <v>471</v>
      </c>
      <c r="F400">
        <v>600</v>
      </c>
      <c r="G400" t="s">
        <v>2167</v>
      </c>
      <c r="H400" t="s">
        <v>1867</v>
      </c>
      <c r="I400" t="s">
        <v>1971</v>
      </c>
    </row>
    <row r="401" spans="2:9" x14ac:dyDescent="0.25">
      <c r="B401" t="s">
        <v>1979</v>
      </c>
      <c r="C401" t="s">
        <v>25</v>
      </c>
      <c r="D401" t="s">
        <v>470</v>
      </c>
      <c r="E401" t="s">
        <v>471</v>
      </c>
      <c r="F401">
        <v>60</v>
      </c>
      <c r="G401" t="s">
        <v>2168</v>
      </c>
      <c r="H401" t="s">
        <v>1867</v>
      </c>
      <c r="I401" t="s">
        <v>1971</v>
      </c>
    </row>
    <row r="402" spans="2:9" x14ac:dyDescent="0.25">
      <c r="B402" t="s">
        <v>1979</v>
      </c>
      <c r="C402" t="s">
        <v>25</v>
      </c>
      <c r="D402" t="s">
        <v>470</v>
      </c>
      <c r="E402" t="s">
        <v>471</v>
      </c>
      <c r="F402">
        <v>60</v>
      </c>
      <c r="G402" t="s">
        <v>2169</v>
      </c>
      <c r="H402" t="s">
        <v>1629</v>
      </c>
      <c r="I402" t="s">
        <v>1971</v>
      </c>
    </row>
    <row r="403" spans="2:9" x14ac:dyDescent="0.25">
      <c r="B403" t="s">
        <v>1979</v>
      </c>
      <c r="C403" t="s">
        <v>25</v>
      </c>
      <c r="D403" t="s">
        <v>470</v>
      </c>
      <c r="E403" t="s">
        <v>471</v>
      </c>
      <c r="F403">
        <v>12</v>
      </c>
      <c r="G403" t="s">
        <v>2553</v>
      </c>
      <c r="H403" t="s">
        <v>1672</v>
      </c>
      <c r="I403" t="s">
        <v>1971</v>
      </c>
    </row>
    <row r="404" spans="2:9" x14ac:dyDescent="0.25">
      <c r="B404" t="s">
        <v>1979</v>
      </c>
      <c r="C404" t="s">
        <v>25</v>
      </c>
      <c r="D404" t="s">
        <v>470</v>
      </c>
      <c r="E404" t="s">
        <v>471</v>
      </c>
      <c r="F404">
        <v>204</v>
      </c>
      <c r="G404" t="s">
        <v>1995</v>
      </c>
      <c r="H404" t="s">
        <v>1672</v>
      </c>
      <c r="I404" t="s">
        <v>1971</v>
      </c>
    </row>
    <row r="405" spans="2:9" x14ac:dyDescent="0.25">
      <c r="B405" t="s">
        <v>1979</v>
      </c>
      <c r="C405" t="s">
        <v>25</v>
      </c>
      <c r="D405" t="s">
        <v>470</v>
      </c>
      <c r="E405" t="s">
        <v>471</v>
      </c>
      <c r="F405">
        <v>48</v>
      </c>
      <c r="G405" t="s">
        <v>2150</v>
      </c>
      <c r="H405" t="s">
        <v>1672</v>
      </c>
      <c r="I405" t="s">
        <v>1971</v>
      </c>
    </row>
    <row r="406" spans="2:9" x14ac:dyDescent="0.25">
      <c r="B406" t="s">
        <v>1979</v>
      </c>
      <c r="C406" t="s">
        <v>25</v>
      </c>
      <c r="D406" t="s">
        <v>470</v>
      </c>
      <c r="E406" t="s">
        <v>471</v>
      </c>
      <c r="F406">
        <v>13</v>
      </c>
      <c r="G406" t="s">
        <v>2544</v>
      </c>
      <c r="H406" t="s">
        <v>1742</v>
      </c>
      <c r="I406" t="s">
        <v>1971</v>
      </c>
    </row>
    <row r="407" spans="2:9" x14ac:dyDescent="0.25">
      <c r="B407" t="s">
        <v>1979</v>
      </c>
      <c r="C407" t="s">
        <v>25</v>
      </c>
      <c r="D407" t="s">
        <v>470</v>
      </c>
      <c r="E407" t="s">
        <v>471</v>
      </c>
      <c r="F407">
        <v>37</v>
      </c>
      <c r="G407" t="s">
        <v>2544</v>
      </c>
      <c r="H407" t="s">
        <v>1742</v>
      </c>
      <c r="I407" t="s">
        <v>1971</v>
      </c>
    </row>
    <row r="408" spans="2:9" x14ac:dyDescent="0.25">
      <c r="B408" t="s">
        <v>1979</v>
      </c>
      <c r="C408" t="s">
        <v>25</v>
      </c>
      <c r="D408" t="s">
        <v>470</v>
      </c>
      <c r="E408" t="s">
        <v>471</v>
      </c>
      <c r="F408">
        <v>24</v>
      </c>
      <c r="G408" t="s">
        <v>2544</v>
      </c>
      <c r="H408" t="s">
        <v>1742</v>
      </c>
      <c r="I408" t="s">
        <v>1971</v>
      </c>
    </row>
    <row r="409" spans="2:9" x14ac:dyDescent="0.25">
      <c r="B409" t="s">
        <v>1979</v>
      </c>
      <c r="C409" t="s">
        <v>25</v>
      </c>
      <c r="D409" t="s">
        <v>470</v>
      </c>
      <c r="E409" t="s">
        <v>471</v>
      </c>
      <c r="F409">
        <v>24</v>
      </c>
      <c r="G409" t="s">
        <v>2544</v>
      </c>
      <c r="H409" t="s">
        <v>1742</v>
      </c>
      <c r="I409" t="s">
        <v>1971</v>
      </c>
    </row>
    <row r="410" spans="2:9" x14ac:dyDescent="0.25">
      <c r="B410" t="s">
        <v>1979</v>
      </c>
      <c r="C410" t="s">
        <v>25</v>
      </c>
      <c r="D410" t="s">
        <v>470</v>
      </c>
      <c r="E410" t="s">
        <v>471</v>
      </c>
      <c r="F410">
        <v>460</v>
      </c>
      <c r="G410" t="s">
        <v>2544</v>
      </c>
      <c r="H410" t="s">
        <v>1742</v>
      </c>
      <c r="I410" t="s">
        <v>1971</v>
      </c>
    </row>
    <row r="411" spans="2:9" x14ac:dyDescent="0.25">
      <c r="B411" t="s">
        <v>1979</v>
      </c>
      <c r="C411" t="s">
        <v>1005</v>
      </c>
      <c r="D411" t="s">
        <v>1006</v>
      </c>
      <c r="E411" t="s">
        <v>1007</v>
      </c>
      <c r="F411">
        <v>75</v>
      </c>
      <c r="G411" t="s">
        <v>2218</v>
      </c>
      <c r="H411" t="s">
        <v>1840</v>
      </c>
      <c r="I411" t="s">
        <v>1971</v>
      </c>
    </row>
    <row r="412" spans="2:9" x14ac:dyDescent="0.25">
      <c r="B412" t="s">
        <v>1979</v>
      </c>
      <c r="C412" t="s">
        <v>40</v>
      </c>
      <c r="D412" t="s">
        <v>474</v>
      </c>
      <c r="E412" t="s">
        <v>475</v>
      </c>
      <c r="F412">
        <v>100</v>
      </c>
      <c r="G412" t="s">
        <v>2189</v>
      </c>
      <c r="H412" t="s">
        <v>1629</v>
      </c>
      <c r="I412" t="s">
        <v>1971</v>
      </c>
    </row>
    <row r="413" spans="2:9" x14ac:dyDescent="0.25">
      <c r="B413" t="s">
        <v>1979</v>
      </c>
      <c r="C413" t="s">
        <v>40</v>
      </c>
      <c r="D413" t="s">
        <v>474</v>
      </c>
      <c r="E413" t="s">
        <v>475</v>
      </c>
      <c r="F413">
        <v>40</v>
      </c>
      <c r="G413" t="s">
        <v>2171</v>
      </c>
      <c r="H413" t="s">
        <v>1663</v>
      </c>
      <c r="I413" t="s">
        <v>1971</v>
      </c>
    </row>
    <row r="414" spans="2:9" x14ac:dyDescent="0.25">
      <c r="B414" t="s">
        <v>1979</v>
      </c>
      <c r="C414" t="s">
        <v>272</v>
      </c>
      <c r="D414" t="s">
        <v>1342</v>
      </c>
      <c r="E414" t="s">
        <v>1343</v>
      </c>
      <c r="F414">
        <v>20</v>
      </c>
      <c r="G414" t="s">
        <v>2049</v>
      </c>
      <c r="H414" t="s">
        <v>1706</v>
      </c>
      <c r="I414" t="s">
        <v>1971</v>
      </c>
    </row>
    <row r="415" spans="2:9" x14ac:dyDescent="0.25">
      <c r="B415" t="s">
        <v>1979</v>
      </c>
      <c r="C415" t="s">
        <v>272</v>
      </c>
      <c r="D415" t="s">
        <v>1342</v>
      </c>
      <c r="E415" t="s">
        <v>1343</v>
      </c>
      <c r="F415">
        <v>980</v>
      </c>
      <c r="G415" t="s">
        <v>2065</v>
      </c>
      <c r="H415" t="s">
        <v>1779</v>
      </c>
      <c r="I415" t="s">
        <v>1971</v>
      </c>
    </row>
    <row r="416" spans="2:9" x14ac:dyDescent="0.25">
      <c r="B416" t="s">
        <v>1979</v>
      </c>
      <c r="C416" t="s">
        <v>272</v>
      </c>
      <c r="D416" t="s">
        <v>1342</v>
      </c>
      <c r="E416" t="s">
        <v>1343</v>
      </c>
      <c r="F416">
        <v>5</v>
      </c>
      <c r="G416" t="s">
        <v>2081</v>
      </c>
      <c r="H416" t="s">
        <v>1619</v>
      </c>
      <c r="I416" t="s">
        <v>1971</v>
      </c>
    </row>
    <row r="417" spans="2:9" x14ac:dyDescent="0.25">
      <c r="B417" t="s">
        <v>1979</v>
      </c>
      <c r="C417" t="s">
        <v>120</v>
      </c>
      <c r="D417" t="s">
        <v>540</v>
      </c>
      <c r="E417" t="s">
        <v>541</v>
      </c>
      <c r="F417">
        <v>20</v>
      </c>
      <c r="G417" t="s">
        <v>2544</v>
      </c>
      <c r="H417" t="s">
        <v>1742</v>
      </c>
      <c r="I417" t="s">
        <v>1971</v>
      </c>
    </row>
    <row r="418" spans="2:9" x14ac:dyDescent="0.25">
      <c r="B418" t="s">
        <v>1979</v>
      </c>
      <c r="C418" t="s">
        <v>120</v>
      </c>
      <c r="D418" t="s">
        <v>540</v>
      </c>
      <c r="E418" t="s">
        <v>541</v>
      </c>
      <c r="F418">
        <v>60</v>
      </c>
      <c r="G418" t="s">
        <v>2203</v>
      </c>
      <c r="H418" t="s">
        <v>1697</v>
      </c>
      <c r="I418" t="s">
        <v>1971</v>
      </c>
    </row>
    <row r="419" spans="2:9" x14ac:dyDescent="0.25">
      <c r="B419" t="s">
        <v>1979</v>
      </c>
      <c r="C419" t="s">
        <v>120</v>
      </c>
      <c r="D419" t="s">
        <v>540</v>
      </c>
      <c r="E419" t="s">
        <v>541</v>
      </c>
      <c r="F419">
        <v>40</v>
      </c>
      <c r="G419" t="s">
        <v>2151</v>
      </c>
      <c r="H419" t="s">
        <v>1697</v>
      </c>
      <c r="I419" t="s">
        <v>1971</v>
      </c>
    </row>
    <row r="420" spans="2:9" x14ac:dyDescent="0.25">
      <c r="B420" t="s">
        <v>1979</v>
      </c>
      <c r="C420" t="s">
        <v>120</v>
      </c>
      <c r="D420" t="s">
        <v>540</v>
      </c>
      <c r="E420" t="s">
        <v>541</v>
      </c>
      <c r="F420">
        <v>120</v>
      </c>
      <c r="G420" t="s">
        <v>2225</v>
      </c>
      <c r="H420" t="s">
        <v>1815</v>
      </c>
      <c r="I420" t="s">
        <v>1971</v>
      </c>
    </row>
    <row r="421" spans="2:9" x14ac:dyDescent="0.25">
      <c r="B421" t="s">
        <v>1979</v>
      </c>
      <c r="C421" t="s">
        <v>120</v>
      </c>
      <c r="D421" t="s">
        <v>540</v>
      </c>
      <c r="E421" t="s">
        <v>541</v>
      </c>
      <c r="F421">
        <v>120</v>
      </c>
      <c r="G421" t="s">
        <v>2113</v>
      </c>
      <c r="H421" t="s">
        <v>1803</v>
      </c>
      <c r="I421" t="s">
        <v>1971</v>
      </c>
    </row>
    <row r="422" spans="2:9" x14ac:dyDescent="0.25">
      <c r="B422" t="s">
        <v>1979</v>
      </c>
      <c r="C422" t="s">
        <v>120</v>
      </c>
      <c r="D422" t="s">
        <v>540</v>
      </c>
      <c r="E422" t="s">
        <v>541</v>
      </c>
      <c r="F422">
        <v>40</v>
      </c>
      <c r="G422" t="s">
        <v>2222</v>
      </c>
      <c r="H422" t="s">
        <v>1803</v>
      </c>
      <c r="I422" t="s">
        <v>1971</v>
      </c>
    </row>
    <row r="423" spans="2:9" x14ac:dyDescent="0.25">
      <c r="B423" t="s">
        <v>1979</v>
      </c>
      <c r="C423" t="s">
        <v>120</v>
      </c>
      <c r="D423" t="s">
        <v>540</v>
      </c>
      <c r="E423" t="s">
        <v>541</v>
      </c>
      <c r="F423">
        <v>500</v>
      </c>
      <c r="G423" t="s">
        <v>2227</v>
      </c>
      <c r="H423" t="s">
        <v>1736</v>
      </c>
      <c r="I423" t="s">
        <v>1971</v>
      </c>
    </row>
    <row r="424" spans="2:9" x14ac:dyDescent="0.25">
      <c r="B424" t="s">
        <v>1979</v>
      </c>
      <c r="C424" t="s">
        <v>120</v>
      </c>
      <c r="D424" t="s">
        <v>540</v>
      </c>
      <c r="E424" t="s">
        <v>541</v>
      </c>
      <c r="F424">
        <v>260</v>
      </c>
      <c r="G424" t="s">
        <v>2188</v>
      </c>
      <c r="H424" t="s">
        <v>2148</v>
      </c>
      <c r="I424" t="s">
        <v>1971</v>
      </c>
    </row>
    <row r="425" spans="2:9" x14ac:dyDescent="0.25">
      <c r="B425" t="s">
        <v>1979</v>
      </c>
      <c r="C425" t="s">
        <v>120</v>
      </c>
      <c r="D425" t="s">
        <v>540</v>
      </c>
      <c r="E425" t="s">
        <v>541</v>
      </c>
      <c r="F425">
        <v>40</v>
      </c>
      <c r="G425" t="s">
        <v>2188</v>
      </c>
      <c r="H425" t="s">
        <v>2148</v>
      </c>
      <c r="I425" t="s">
        <v>1971</v>
      </c>
    </row>
    <row r="426" spans="2:9" x14ac:dyDescent="0.25">
      <c r="B426" t="s">
        <v>1979</v>
      </c>
      <c r="C426" t="s">
        <v>52</v>
      </c>
      <c r="D426" t="s">
        <v>819</v>
      </c>
      <c r="E426" t="s">
        <v>820</v>
      </c>
      <c r="F426">
        <v>110</v>
      </c>
      <c r="G426" t="s">
        <v>2035</v>
      </c>
      <c r="H426" t="s">
        <v>1712</v>
      </c>
      <c r="I426" t="s">
        <v>1971</v>
      </c>
    </row>
    <row r="427" spans="2:9" x14ac:dyDescent="0.25">
      <c r="B427" t="s">
        <v>1979</v>
      </c>
      <c r="C427" t="s">
        <v>52</v>
      </c>
      <c r="D427" t="s">
        <v>819</v>
      </c>
      <c r="E427" t="s">
        <v>820</v>
      </c>
      <c r="F427">
        <v>190</v>
      </c>
      <c r="G427" t="s">
        <v>2035</v>
      </c>
      <c r="H427" t="s">
        <v>1712</v>
      </c>
      <c r="I427" t="s">
        <v>1971</v>
      </c>
    </row>
    <row r="428" spans="2:9" x14ac:dyDescent="0.25">
      <c r="B428" t="s">
        <v>1979</v>
      </c>
      <c r="C428" t="s">
        <v>161</v>
      </c>
      <c r="D428" t="s">
        <v>827</v>
      </c>
      <c r="E428" t="s">
        <v>828</v>
      </c>
      <c r="F428">
        <v>2000</v>
      </c>
      <c r="G428" t="s">
        <v>2065</v>
      </c>
      <c r="H428" t="s">
        <v>1779</v>
      </c>
      <c r="I428" t="s">
        <v>1971</v>
      </c>
    </row>
    <row r="429" spans="2:9" x14ac:dyDescent="0.25">
      <c r="B429" t="s">
        <v>1979</v>
      </c>
      <c r="C429" t="s">
        <v>161</v>
      </c>
      <c r="D429" t="s">
        <v>827</v>
      </c>
      <c r="E429" t="s">
        <v>828</v>
      </c>
      <c r="F429">
        <v>840</v>
      </c>
      <c r="G429" t="s">
        <v>2066</v>
      </c>
      <c r="H429" t="s">
        <v>1653</v>
      </c>
      <c r="I429" t="s">
        <v>1971</v>
      </c>
    </row>
    <row r="430" spans="2:9" x14ac:dyDescent="0.25">
      <c r="B430" t="s">
        <v>1979</v>
      </c>
      <c r="C430" t="s">
        <v>161</v>
      </c>
      <c r="D430" t="s">
        <v>827</v>
      </c>
      <c r="E430" t="s">
        <v>828</v>
      </c>
      <c r="F430">
        <v>840</v>
      </c>
      <c r="G430" t="s">
        <v>2067</v>
      </c>
      <c r="H430" t="s">
        <v>1622</v>
      </c>
      <c r="I430" t="s">
        <v>1971</v>
      </c>
    </row>
    <row r="431" spans="2:9" x14ac:dyDescent="0.25">
      <c r="B431" t="s">
        <v>1979</v>
      </c>
      <c r="C431" t="s">
        <v>161</v>
      </c>
      <c r="D431" t="s">
        <v>827</v>
      </c>
      <c r="E431" t="s">
        <v>828</v>
      </c>
      <c r="F431">
        <v>1680</v>
      </c>
      <c r="G431" t="s">
        <v>2035</v>
      </c>
      <c r="H431" t="s">
        <v>1712</v>
      </c>
      <c r="I431" t="s">
        <v>1971</v>
      </c>
    </row>
    <row r="432" spans="2:9" x14ac:dyDescent="0.25">
      <c r="B432" t="s">
        <v>1979</v>
      </c>
      <c r="C432" t="s">
        <v>55</v>
      </c>
      <c r="D432" t="s">
        <v>212</v>
      </c>
      <c r="E432" t="s">
        <v>213</v>
      </c>
      <c r="F432">
        <v>40</v>
      </c>
      <c r="G432" t="s">
        <v>2068</v>
      </c>
      <c r="H432" t="s">
        <v>1815</v>
      </c>
      <c r="I432" t="s">
        <v>1971</v>
      </c>
    </row>
    <row r="433" spans="2:9" x14ac:dyDescent="0.25">
      <c r="B433" t="s">
        <v>1979</v>
      </c>
      <c r="C433" t="s">
        <v>120</v>
      </c>
      <c r="D433" t="s">
        <v>180</v>
      </c>
      <c r="E433" t="s">
        <v>181</v>
      </c>
      <c r="F433">
        <v>840</v>
      </c>
      <c r="G433" t="s">
        <v>2066</v>
      </c>
      <c r="H433" t="s">
        <v>1653</v>
      </c>
      <c r="I433" t="s">
        <v>1971</v>
      </c>
    </row>
    <row r="434" spans="2:9" x14ac:dyDescent="0.25">
      <c r="B434" t="s">
        <v>1979</v>
      </c>
      <c r="C434" t="s">
        <v>120</v>
      </c>
      <c r="D434" t="s">
        <v>180</v>
      </c>
      <c r="E434" t="s">
        <v>181</v>
      </c>
      <c r="F434">
        <v>80</v>
      </c>
      <c r="G434" t="s">
        <v>2035</v>
      </c>
      <c r="H434" t="s">
        <v>1712</v>
      </c>
      <c r="I434" t="s">
        <v>1971</v>
      </c>
    </row>
    <row r="435" spans="2:9" x14ac:dyDescent="0.25">
      <c r="B435" t="s">
        <v>1979</v>
      </c>
      <c r="C435" t="s">
        <v>120</v>
      </c>
      <c r="D435" t="s">
        <v>180</v>
      </c>
      <c r="E435" t="s">
        <v>181</v>
      </c>
      <c r="F435">
        <v>760</v>
      </c>
      <c r="G435" t="s">
        <v>2035</v>
      </c>
      <c r="H435" t="s">
        <v>1712</v>
      </c>
      <c r="I435" t="s">
        <v>1971</v>
      </c>
    </row>
    <row r="436" spans="2:9" x14ac:dyDescent="0.25">
      <c r="B436" t="s">
        <v>1979</v>
      </c>
      <c r="C436" t="s">
        <v>114</v>
      </c>
      <c r="D436" t="s">
        <v>115</v>
      </c>
      <c r="E436" t="s">
        <v>116</v>
      </c>
      <c r="F436">
        <v>240</v>
      </c>
      <c r="G436" t="s">
        <v>2129</v>
      </c>
      <c r="H436" t="s">
        <v>1751</v>
      </c>
      <c r="I436" t="s">
        <v>1971</v>
      </c>
    </row>
    <row r="437" spans="2:9" x14ac:dyDescent="0.25">
      <c r="B437" t="s">
        <v>1979</v>
      </c>
      <c r="C437" t="s">
        <v>114</v>
      </c>
      <c r="D437" t="s">
        <v>115</v>
      </c>
      <c r="E437" t="s">
        <v>116</v>
      </c>
      <c r="F437">
        <v>120</v>
      </c>
      <c r="G437" t="s">
        <v>2070</v>
      </c>
      <c r="H437" t="s">
        <v>1751</v>
      </c>
      <c r="I437" t="s">
        <v>1971</v>
      </c>
    </row>
    <row r="438" spans="2:9" x14ac:dyDescent="0.25">
      <c r="B438" t="s">
        <v>1979</v>
      </c>
      <c r="C438" t="s">
        <v>114</v>
      </c>
      <c r="D438" t="s">
        <v>115</v>
      </c>
      <c r="E438" t="s">
        <v>116</v>
      </c>
      <c r="F438">
        <v>240</v>
      </c>
      <c r="G438" t="s">
        <v>2130</v>
      </c>
      <c r="H438" t="s">
        <v>1767</v>
      </c>
      <c r="I438" t="s">
        <v>1971</v>
      </c>
    </row>
    <row r="439" spans="2:9" x14ac:dyDescent="0.25">
      <c r="B439" t="s">
        <v>1979</v>
      </c>
      <c r="C439" t="s">
        <v>114</v>
      </c>
      <c r="D439" t="s">
        <v>115</v>
      </c>
      <c r="E439" t="s">
        <v>116</v>
      </c>
      <c r="F439">
        <v>240</v>
      </c>
      <c r="G439" t="s">
        <v>1995</v>
      </c>
      <c r="H439" t="s">
        <v>1672</v>
      </c>
      <c r="I439" t="s">
        <v>1971</v>
      </c>
    </row>
    <row r="440" spans="2:9" x14ac:dyDescent="0.25">
      <c r="B440" t="s">
        <v>1979</v>
      </c>
      <c r="C440" t="s">
        <v>114</v>
      </c>
      <c r="D440" t="s">
        <v>115</v>
      </c>
      <c r="E440" t="s">
        <v>116</v>
      </c>
      <c r="F440">
        <v>240</v>
      </c>
      <c r="G440" t="s">
        <v>2011</v>
      </c>
      <c r="H440" t="s">
        <v>1789</v>
      </c>
      <c r="I440" t="s">
        <v>1971</v>
      </c>
    </row>
    <row r="441" spans="2:9" x14ac:dyDescent="0.25">
      <c r="B441" t="s">
        <v>1979</v>
      </c>
      <c r="C441" t="s">
        <v>114</v>
      </c>
      <c r="D441" t="s">
        <v>115</v>
      </c>
      <c r="E441" t="s">
        <v>116</v>
      </c>
      <c r="F441">
        <v>120</v>
      </c>
      <c r="G441" t="s">
        <v>2131</v>
      </c>
      <c r="H441" t="s">
        <v>1779</v>
      </c>
      <c r="I441" t="s">
        <v>1971</v>
      </c>
    </row>
    <row r="442" spans="2:9" x14ac:dyDescent="0.25">
      <c r="B442" t="s">
        <v>1979</v>
      </c>
      <c r="C442" t="s">
        <v>266</v>
      </c>
      <c r="D442" t="s">
        <v>267</v>
      </c>
      <c r="E442" t="s">
        <v>268</v>
      </c>
      <c r="F442">
        <v>100</v>
      </c>
      <c r="G442" t="s">
        <v>2132</v>
      </c>
      <c r="H442" t="s">
        <v>1752</v>
      </c>
      <c r="I442" t="s">
        <v>1971</v>
      </c>
    </row>
    <row r="443" spans="2:9" x14ac:dyDescent="0.25">
      <c r="B443" t="s">
        <v>1979</v>
      </c>
      <c r="C443" t="s">
        <v>266</v>
      </c>
      <c r="D443" t="s">
        <v>267</v>
      </c>
      <c r="E443" t="s">
        <v>268</v>
      </c>
      <c r="F443">
        <v>100</v>
      </c>
      <c r="G443" t="s">
        <v>2133</v>
      </c>
      <c r="H443" t="s">
        <v>1775</v>
      </c>
      <c r="I443" t="s">
        <v>1971</v>
      </c>
    </row>
    <row r="444" spans="2:9" x14ac:dyDescent="0.25">
      <c r="B444" t="s">
        <v>1979</v>
      </c>
      <c r="C444" t="s">
        <v>266</v>
      </c>
      <c r="D444" t="s">
        <v>267</v>
      </c>
      <c r="E444" t="s">
        <v>268</v>
      </c>
      <c r="F444">
        <v>100</v>
      </c>
      <c r="G444" t="s">
        <v>2134</v>
      </c>
      <c r="H444" t="s">
        <v>1724</v>
      </c>
      <c r="I444" t="s">
        <v>1971</v>
      </c>
    </row>
    <row r="445" spans="2:9" x14ac:dyDescent="0.25">
      <c r="B445" t="s">
        <v>1979</v>
      </c>
      <c r="C445" t="s">
        <v>266</v>
      </c>
      <c r="D445" t="s">
        <v>267</v>
      </c>
      <c r="E445" t="s">
        <v>268</v>
      </c>
      <c r="F445">
        <v>100</v>
      </c>
      <c r="G445" t="s">
        <v>2135</v>
      </c>
      <c r="H445" t="s">
        <v>1793</v>
      </c>
      <c r="I445" t="s">
        <v>1971</v>
      </c>
    </row>
    <row r="446" spans="2:9" x14ac:dyDescent="0.25">
      <c r="B446" t="s">
        <v>1979</v>
      </c>
      <c r="C446" t="s">
        <v>266</v>
      </c>
      <c r="D446" t="s">
        <v>267</v>
      </c>
      <c r="E446" t="s">
        <v>268</v>
      </c>
      <c r="F446">
        <v>100</v>
      </c>
      <c r="G446" t="s">
        <v>2136</v>
      </c>
      <c r="H446" t="s">
        <v>1646</v>
      </c>
      <c r="I446" t="s">
        <v>1971</v>
      </c>
    </row>
    <row r="447" spans="2:9" x14ac:dyDescent="0.25">
      <c r="B447" t="s">
        <v>1979</v>
      </c>
      <c r="C447" t="s">
        <v>175</v>
      </c>
      <c r="D447" t="s">
        <v>178</v>
      </c>
      <c r="E447" t="s">
        <v>179</v>
      </c>
      <c r="F447">
        <v>500</v>
      </c>
      <c r="G447" t="s">
        <v>2137</v>
      </c>
      <c r="H447" t="s">
        <v>1752</v>
      </c>
      <c r="I447" t="s">
        <v>1971</v>
      </c>
    </row>
    <row r="448" spans="2:9" x14ac:dyDescent="0.25">
      <c r="B448" t="s">
        <v>1979</v>
      </c>
      <c r="C448" t="s">
        <v>175</v>
      </c>
      <c r="D448" t="s">
        <v>178</v>
      </c>
      <c r="E448" t="s">
        <v>179</v>
      </c>
      <c r="F448">
        <v>800</v>
      </c>
      <c r="G448" t="s">
        <v>2138</v>
      </c>
      <c r="H448" t="s">
        <v>1867</v>
      </c>
      <c r="I448" t="s">
        <v>1971</v>
      </c>
    </row>
    <row r="449" spans="2:9" x14ac:dyDescent="0.25">
      <c r="B449" t="s">
        <v>1979</v>
      </c>
      <c r="C449" t="s">
        <v>214</v>
      </c>
      <c r="D449" t="s">
        <v>780</v>
      </c>
      <c r="E449" t="s">
        <v>781</v>
      </c>
      <c r="F449">
        <v>900</v>
      </c>
      <c r="G449" t="s">
        <v>2065</v>
      </c>
      <c r="H449" t="s">
        <v>1779</v>
      </c>
      <c r="I449" t="s">
        <v>1971</v>
      </c>
    </row>
    <row r="450" spans="2:9" x14ac:dyDescent="0.25">
      <c r="B450" t="s">
        <v>1979</v>
      </c>
      <c r="C450" t="s">
        <v>214</v>
      </c>
      <c r="D450" t="s">
        <v>780</v>
      </c>
      <c r="E450" t="s">
        <v>781</v>
      </c>
      <c r="F450">
        <v>900</v>
      </c>
      <c r="G450" t="s">
        <v>2065</v>
      </c>
      <c r="H450" t="s">
        <v>1779</v>
      </c>
      <c r="I450" t="s">
        <v>1971</v>
      </c>
    </row>
    <row r="451" spans="2:9" x14ac:dyDescent="0.25">
      <c r="B451" t="s">
        <v>1979</v>
      </c>
      <c r="C451" t="s">
        <v>214</v>
      </c>
      <c r="D451" t="s">
        <v>780</v>
      </c>
      <c r="E451" t="s">
        <v>781</v>
      </c>
      <c r="F451">
        <v>900</v>
      </c>
      <c r="G451" t="s">
        <v>2065</v>
      </c>
      <c r="H451" t="s">
        <v>1779</v>
      </c>
      <c r="I451" t="s">
        <v>1971</v>
      </c>
    </row>
    <row r="452" spans="2:9" x14ac:dyDescent="0.25">
      <c r="B452" t="s">
        <v>1979</v>
      </c>
      <c r="C452" t="s">
        <v>214</v>
      </c>
      <c r="D452" t="s">
        <v>780</v>
      </c>
      <c r="E452" t="s">
        <v>781</v>
      </c>
      <c r="F452">
        <v>900</v>
      </c>
      <c r="G452" t="s">
        <v>2065</v>
      </c>
      <c r="H452" t="s">
        <v>1779</v>
      </c>
      <c r="I452" t="s">
        <v>1971</v>
      </c>
    </row>
    <row r="453" spans="2:9" x14ac:dyDescent="0.25">
      <c r="B453" t="s">
        <v>1979</v>
      </c>
      <c r="C453" t="s">
        <v>214</v>
      </c>
      <c r="D453" t="s">
        <v>780</v>
      </c>
      <c r="E453" t="s">
        <v>781</v>
      </c>
      <c r="F453">
        <v>900</v>
      </c>
      <c r="G453" t="s">
        <v>2065</v>
      </c>
      <c r="H453" t="s">
        <v>1779</v>
      </c>
      <c r="I453" t="s">
        <v>1971</v>
      </c>
    </row>
    <row r="454" spans="2:9" x14ac:dyDescent="0.25">
      <c r="B454" t="s">
        <v>1979</v>
      </c>
      <c r="C454" t="s">
        <v>214</v>
      </c>
      <c r="D454" t="s">
        <v>780</v>
      </c>
      <c r="E454" t="s">
        <v>781</v>
      </c>
      <c r="F454">
        <v>900</v>
      </c>
      <c r="G454" t="s">
        <v>2065</v>
      </c>
      <c r="H454" t="s">
        <v>1779</v>
      </c>
      <c r="I454" t="s">
        <v>1971</v>
      </c>
    </row>
    <row r="455" spans="2:9" x14ac:dyDescent="0.25">
      <c r="B455" t="s">
        <v>1979</v>
      </c>
      <c r="C455" t="s">
        <v>214</v>
      </c>
      <c r="D455" t="s">
        <v>780</v>
      </c>
      <c r="E455" t="s">
        <v>781</v>
      </c>
      <c r="F455">
        <v>900</v>
      </c>
      <c r="G455" t="s">
        <v>2065</v>
      </c>
      <c r="H455" t="s">
        <v>1779</v>
      </c>
      <c r="I455" t="s">
        <v>1971</v>
      </c>
    </row>
    <row r="456" spans="2:9" x14ac:dyDescent="0.25">
      <c r="B456" t="s">
        <v>1979</v>
      </c>
      <c r="C456" t="s">
        <v>214</v>
      </c>
      <c r="D456" t="s">
        <v>780</v>
      </c>
      <c r="E456" t="s">
        <v>781</v>
      </c>
      <c r="F456">
        <v>300</v>
      </c>
      <c r="G456" t="s">
        <v>2065</v>
      </c>
      <c r="H456" t="s">
        <v>1779</v>
      </c>
      <c r="I456" t="s">
        <v>1971</v>
      </c>
    </row>
    <row r="457" spans="2:9" x14ac:dyDescent="0.25">
      <c r="B457" t="s">
        <v>1979</v>
      </c>
      <c r="C457" t="s">
        <v>214</v>
      </c>
      <c r="D457" t="s">
        <v>780</v>
      </c>
      <c r="E457" t="s">
        <v>781</v>
      </c>
      <c r="F457">
        <v>900</v>
      </c>
      <c r="G457" t="s">
        <v>2065</v>
      </c>
      <c r="H457" t="s">
        <v>1779</v>
      </c>
      <c r="I457" t="s">
        <v>1971</v>
      </c>
    </row>
    <row r="458" spans="2:9" x14ac:dyDescent="0.25">
      <c r="B458" t="s">
        <v>1979</v>
      </c>
      <c r="C458" t="s">
        <v>214</v>
      </c>
      <c r="D458" t="s">
        <v>780</v>
      </c>
      <c r="E458" t="s">
        <v>781</v>
      </c>
      <c r="F458">
        <v>900</v>
      </c>
      <c r="G458" t="s">
        <v>2065</v>
      </c>
      <c r="H458" t="s">
        <v>1779</v>
      </c>
      <c r="I458" t="s">
        <v>1971</v>
      </c>
    </row>
    <row r="459" spans="2:9" x14ac:dyDescent="0.25">
      <c r="B459" t="s">
        <v>1979</v>
      </c>
      <c r="C459" t="s">
        <v>214</v>
      </c>
      <c r="D459" t="s">
        <v>780</v>
      </c>
      <c r="E459" t="s">
        <v>781</v>
      </c>
      <c r="F459">
        <v>900</v>
      </c>
      <c r="G459" t="s">
        <v>2065</v>
      </c>
      <c r="H459" t="s">
        <v>1779</v>
      </c>
      <c r="I459" t="s">
        <v>1971</v>
      </c>
    </row>
    <row r="460" spans="2:9" x14ac:dyDescent="0.25">
      <c r="B460" t="s">
        <v>1979</v>
      </c>
      <c r="C460" t="s">
        <v>214</v>
      </c>
      <c r="D460" t="s">
        <v>780</v>
      </c>
      <c r="E460" t="s">
        <v>781</v>
      </c>
      <c r="F460">
        <v>900</v>
      </c>
      <c r="G460" t="s">
        <v>2065</v>
      </c>
      <c r="H460" t="s">
        <v>1779</v>
      </c>
      <c r="I460" t="s">
        <v>1971</v>
      </c>
    </row>
    <row r="461" spans="2:9" x14ac:dyDescent="0.25">
      <c r="B461" t="s">
        <v>1979</v>
      </c>
      <c r="C461" t="s">
        <v>214</v>
      </c>
      <c r="D461" t="s">
        <v>780</v>
      </c>
      <c r="E461" t="s">
        <v>781</v>
      </c>
      <c r="F461">
        <v>900</v>
      </c>
      <c r="G461" t="s">
        <v>2065</v>
      </c>
      <c r="H461" t="s">
        <v>1779</v>
      </c>
      <c r="I461" t="s">
        <v>1971</v>
      </c>
    </row>
    <row r="462" spans="2:9" x14ac:dyDescent="0.25">
      <c r="B462" t="s">
        <v>1979</v>
      </c>
      <c r="C462" t="s">
        <v>214</v>
      </c>
      <c r="D462" t="s">
        <v>780</v>
      </c>
      <c r="E462" t="s">
        <v>781</v>
      </c>
      <c r="F462">
        <v>900</v>
      </c>
      <c r="G462" t="s">
        <v>2065</v>
      </c>
      <c r="H462" t="s">
        <v>1779</v>
      </c>
      <c r="I462" t="s">
        <v>1971</v>
      </c>
    </row>
    <row r="463" spans="2:9" x14ac:dyDescent="0.25">
      <c r="B463" t="s">
        <v>1979</v>
      </c>
      <c r="C463" t="s">
        <v>261</v>
      </c>
      <c r="D463" t="s">
        <v>264</v>
      </c>
      <c r="E463" t="s">
        <v>265</v>
      </c>
      <c r="F463">
        <v>2376</v>
      </c>
      <c r="G463" t="s">
        <v>2083</v>
      </c>
      <c r="H463" t="s">
        <v>1631</v>
      </c>
      <c r="I463" t="s">
        <v>1971</v>
      </c>
    </row>
    <row r="464" spans="2:9" x14ac:dyDescent="0.25">
      <c r="B464" t="s">
        <v>1979</v>
      </c>
      <c r="C464" t="s">
        <v>261</v>
      </c>
      <c r="D464" t="s">
        <v>264</v>
      </c>
      <c r="E464" t="s">
        <v>265</v>
      </c>
      <c r="F464">
        <v>24</v>
      </c>
      <c r="G464" t="s">
        <v>2083</v>
      </c>
      <c r="H464" t="s">
        <v>1631</v>
      </c>
      <c r="I464" t="s">
        <v>1971</v>
      </c>
    </row>
    <row r="465" spans="2:9" x14ac:dyDescent="0.25">
      <c r="B465" t="s">
        <v>1979</v>
      </c>
      <c r="C465" t="s">
        <v>261</v>
      </c>
      <c r="D465" t="s">
        <v>264</v>
      </c>
      <c r="E465" t="s">
        <v>265</v>
      </c>
      <c r="F465">
        <v>636</v>
      </c>
      <c r="G465" t="s">
        <v>2083</v>
      </c>
      <c r="H465" t="s">
        <v>1631</v>
      </c>
      <c r="I465" t="s">
        <v>1971</v>
      </c>
    </row>
    <row r="466" spans="2:9" x14ac:dyDescent="0.25">
      <c r="B466" t="s">
        <v>1979</v>
      </c>
      <c r="C466" t="s">
        <v>261</v>
      </c>
      <c r="D466" t="s">
        <v>264</v>
      </c>
      <c r="E466" t="s">
        <v>265</v>
      </c>
      <c r="F466">
        <v>336</v>
      </c>
      <c r="G466" t="s">
        <v>2084</v>
      </c>
      <c r="H466" t="s">
        <v>1631</v>
      </c>
      <c r="I466" t="s">
        <v>1971</v>
      </c>
    </row>
    <row r="467" spans="2:9" x14ac:dyDescent="0.25">
      <c r="B467" t="s">
        <v>1979</v>
      </c>
      <c r="C467" t="s">
        <v>261</v>
      </c>
      <c r="D467" t="s">
        <v>264</v>
      </c>
      <c r="E467" t="s">
        <v>265</v>
      </c>
      <c r="F467">
        <v>476</v>
      </c>
      <c r="G467" t="s">
        <v>2086</v>
      </c>
      <c r="H467" t="s">
        <v>1624</v>
      </c>
      <c r="I467" t="s">
        <v>1971</v>
      </c>
    </row>
    <row r="468" spans="2:9" x14ac:dyDescent="0.25">
      <c r="B468" t="s">
        <v>1979</v>
      </c>
      <c r="C468" t="s">
        <v>261</v>
      </c>
      <c r="D468" t="s">
        <v>264</v>
      </c>
      <c r="E468" t="s">
        <v>265</v>
      </c>
      <c r="F468">
        <v>532</v>
      </c>
      <c r="G468" t="s">
        <v>2086</v>
      </c>
      <c r="H468" t="s">
        <v>1624</v>
      </c>
      <c r="I468" t="s">
        <v>1971</v>
      </c>
    </row>
    <row r="469" spans="2:9" x14ac:dyDescent="0.25">
      <c r="B469" t="s">
        <v>1979</v>
      </c>
      <c r="C469" t="s">
        <v>80</v>
      </c>
      <c r="D469" t="s">
        <v>240</v>
      </c>
      <c r="E469" t="s">
        <v>241</v>
      </c>
      <c r="F469">
        <v>40</v>
      </c>
      <c r="G469" t="s">
        <v>2124</v>
      </c>
      <c r="H469" t="s">
        <v>1775</v>
      </c>
      <c r="I469" t="s">
        <v>1971</v>
      </c>
    </row>
    <row r="470" spans="2:9" x14ac:dyDescent="0.25">
      <c r="B470" t="s">
        <v>1979</v>
      </c>
      <c r="C470" t="s">
        <v>80</v>
      </c>
      <c r="D470" t="s">
        <v>240</v>
      </c>
      <c r="E470" t="s">
        <v>241</v>
      </c>
      <c r="F470">
        <v>40</v>
      </c>
      <c r="G470" t="s">
        <v>2125</v>
      </c>
      <c r="H470" t="s">
        <v>1742</v>
      </c>
      <c r="I470" t="s">
        <v>1971</v>
      </c>
    </row>
    <row r="471" spans="2:9" x14ac:dyDescent="0.25">
      <c r="B471" t="s">
        <v>1979</v>
      </c>
      <c r="C471" t="s">
        <v>80</v>
      </c>
      <c r="D471" t="s">
        <v>240</v>
      </c>
      <c r="E471" t="s">
        <v>241</v>
      </c>
      <c r="F471">
        <v>80</v>
      </c>
      <c r="G471" t="s">
        <v>2139</v>
      </c>
      <c r="H471" t="s">
        <v>1658</v>
      </c>
      <c r="I471" t="s">
        <v>1971</v>
      </c>
    </row>
    <row r="472" spans="2:9" x14ac:dyDescent="0.25">
      <c r="B472" t="s">
        <v>1979</v>
      </c>
      <c r="C472" t="s">
        <v>80</v>
      </c>
      <c r="D472" t="s">
        <v>240</v>
      </c>
      <c r="E472" t="s">
        <v>241</v>
      </c>
      <c r="F472">
        <v>80</v>
      </c>
      <c r="G472" t="s">
        <v>1996</v>
      </c>
      <c r="H472" t="s">
        <v>1786</v>
      </c>
      <c r="I472" t="s">
        <v>1971</v>
      </c>
    </row>
    <row r="473" spans="2:9" x14ac:dyDescent="0.25">
      <c r="B473" t="s">
        <v>1979</v>
      </c>
      <c r="C473" t="s">
        <v>80</v>
      </c>
      <c r="D473" t="s">
        <v>240</v>
      </c>
      <c r="E473" t="s">
        <v>241</v>
      </c>
      <c r="F473">
        <v>100</v>
      </c>
      <c r="G473" t="s">
        <v>2140</v>
      </c>
      <c r="H473" t="s">
        <v>1736</v>
      </c>
      <c r="I473" t="s">
        <v>1971</v>
      </c>
    </row>
    <row r="474" spans="2:9" x14ac:dyDescent="0.25">
      <c r="B474" t="s">
        <v>1979</v>
      </c>
      <c r="C474" t="s">
        <v>80</v>
      </c>
      <c r="D474" t="s">
        <v>184</v>
      </c>
      <c r="E474" t="s">
        <v>185</v>
      </c>
      <c r="F474">
        <v>40</v>
      </c>
      <c r="G474" t="s">
        <v>2072</v>
      </c>
      <c r="H474" t="s">
        <v>1614</v>
      </c>
      <c r="I474" t="s">
        <v>1971</v>
      </c>
    </row>
    <row r="475" spans="2:9" x14ac:dyDescent="0.25">
      <c r="B475" t="s">
        <v>1979</v>
      </c>
      <c r="C475" t="s">
        <v>261</v>
      </c>
      <c r="D475" t="s">
        <v>892</v>
      </c>
      <c r="E475" t="s">
        <v>893</v>
      </c>
      <c r="F475">
        <v>2180</v>
      </c>
      <c r="G475" t="s">
        <v>2085</v>
      </c>
      <c r="H475" t="s">
        <v>1786</v>
      </c>
      <c r="I475" t="s">
        <v>1971</v>
      </c>
    </row>
    <row r="476" spans="2:9" x14ac:dyDescent="0.25">
      <c r="B476" t="s">
        <v>1979</v>
      </c>
      <c r="C476" t="s">
        <v>261</v>
      </c>
      <c r="D476" t="s">
        <v>892</v>
      </c>
      <c r="E476" t="s">
        <v>893</v>
      </c>
      <c r="F476">
        <v>620</v>
      </c>
      <c r="G476" t="s">
        <v>2085</v>
      </c>
      <c r="H476" t="s">
        <v>1786</v>
      </c>
      <c r="I476" t="s">
        <v>1971</v>
      </c>
    </row>
    <row r="477" spans="2:9" x14ac:dyDescent="0.25">
      <c r="B477" t="s">
        <v>1979</v>
      </c>
      <c r="C477" t="s">
        <v>261</v>
      </c>
      <c r="D477" t="s">
        <v>892</v>
      </c>
      <c r="E477" t="s">
        <v>893</v>
      </c>
      <c r="F477">
        <v>1780</v>
      </c>
      <c r="G477" t="s">
        <v>2086</v>
      </c>
      <c r="H477" t="s">
        <v>1624</v>
      </c>
      <c r="I477" t="s">
        <v>1971</v>
      </c>
    </row>
    <row r="478" spans="2:9" x14ac:dyDescent="0.25">
      <c r="B478" t="s">
        <v>1979</v>
      </c>
      <c r="C478" t="s">
        <v>261</v>
      </c>
      <c r="D478" t="s">
        <v>892</v>
      </c>
      <c r="E478" t="s">
        <v>893</v>
      </c>
      <c r="F478">
        <v>1680</v>
      </c>
      <c r="G478" t="s">
        <v>2086</v>
      </c>
      <c r="H478" t="s">
        <v>1624</v>
      </c>
      <c r="I478" t="s">
        <v>1971</v>
      </c>
    </row>
    <row r="479" spans="2:9" x14ac:dyDescent="0.25">
      <c r="B479" t="s">
        <v>1979</v>
      </c>
      <c r="C479" t="s">
        <v>261</v>
      </c>
      <c r="D479" t="s">
        <v>892</v>
      </c>
      <c r="E479" t="s">
        <v>893</v>
      </c>
      <c r="F479">
        <v>60</v>
      </c>
      <c r="G479" t="s">
        <v>2086</v>
      </c>
      <c r="H479" t="s">
        <v>1624</v>
      </c>
      <c r="I479" t="s">
        <v>1971</v>
      </c>
    </row>
    <row r="480" spans="2:9" x14ac:dyDescent="0.25">
      <c r="B480" t="s">
        <v>1979</v>
      </c>
      <c r="C480" t="s">
        <v>134</v>
      </c>
      <c r="D480" t="s">
        <v>903</v>
      </c>
      <c r="E480" t="s">
        <v>904</v>
      </c>
      <c r="F480">
        <v>20</v>
      </c>
      <c r="G480" t="s">
        <v>2542</v>
      </c>
      <c r="H480" t="s">
        <v>1627</v>
      </c>
      <c r="I480" t="s">
        <v>1971</v>
      </c>
    </row>
    <row r="481" spans="2:9" x14ac:dyDescent="0.25">
      <c r="B481" t="s">
        <v>1979</v>
      </c>
      <c r="C481" t="s">
        <v>134</v>
      </c>
      <c r="D481" t="s">
        <v>903</v>
      </c>
      <c r="E481" t="s">
        <v>904</v>
      </c>
      <c r="F481">
        <v>120</v>
      </c>
      <c r="G481" t="s">
        <v>2123</v>
      </c>
      <c r="H481" t="s">
        <v>1712</v>
      </c>
      <c r="I481" t="s">
        <v>1971</v>
      </c>
    </row>
    <row r="482" spans="2:9" x14ac:dyDescent="0.25">
      <c r="B482" t="s">
        <v>1979</v>
      </c>
      <c r="C482" t="s">
        <v>120</v>
      </c>
      <c r="D482" t="s">
        <v>540</v>
      </c>
      <c r="E482" t="s">
        <v>541</v>
      </c>
      <c r="F482">
        <v>120</v>
      </c>
      <c r="G482" t="s">
        <v>2203</v>
      </c>
      <c r="H482" t="s">
        <v>1697</v>
      </c>
      <c r="I482" t="s">
        <v>1971</v>
      </c>
    </row>
    <row r="483" spans="2:9" x14ac:dyDescent="0.25">
      <c r="B483" t="s">
        <v>1979</v>
      </c>
      <c r="C483" t="s">
        <v>120</v>
      </c>
      <c r="D483" t="s">
        <v>540</v>
      </c>
      <c r="E483" t="s">
        <v>541</v>
      </c>
      <c r="F483">
        <v>1000</v>
      </c>
      <c r="G483" t="s">
        <v>2023</v>
      </c>
      <c r="H483" t="s">
        <v>1616</v>
      </c>
      <c r="I483" t="s">
        <v>1971</v>
      </c>
    </row>
    <row r="484" spans="2:9" x14ac:dyDescent="0.25">
      <c r="B484" t="s">
        <v>1979</v>
      </c>
      <c r="C484" t="s">
        <v>120</v>
      </c>
      <c r="D484" t="s">
        <v>540</v>
      </c>
      <c r="E484" t="s">
        <v>541</v>
      </c>
      <c r="F484">
        <v>100</v>
      </c>
      <c r="G484" t="s">
        <v>2061</v>
      </c>
      <c r="H484" t="s">
        <v>1793</v>
      </c>
      <c r="I484" t="s">
        <v>1971</v>
      </c>
    </row>
    <row r="485" spans="2:9" x14ac:dyDescent="0.25">
      <c r="B485" t="s">
        <v>1979</v>
      </c>
      <c r="C485" t="s">
        <v>120</v>
      </c>
      <c r="D485" t="s">
        <v>540</v>
      </c>
      <c r="E485" t="s">
        <v>541</v>
      </c>
      <c r="F485">
        <v>60</v>
      </c>
      <c r="G485" t="s">
        <v>2112</v>
      </c>
      <c r="H485" t="s">
        <v>1605</v>
      </c>
      <c r="I485" t="s">
        <v>1971</v>
      </c>
    </row>
    <row r="486" spans="2:9" x14ac:dyDescent="0.25">
      <c r="B486" t="s">
        <v>1979</v>
      </c>
      <c r="C486" t="s">
        <v>120</v>
      </c>
      <c r="D486" t="s">
        <v>540</v>
      </c>
      <c r="E486" t="s">
        <v>541</v>
      </c>
      <c r="F486">
        <v>1000</v>
      </c>
      <c r="G486" t="s">
        <v>2193</v>
      </c>
      <c r="H486" t="s">
        <v>1605</v>
      </c>
      <c r="I486" t="s">
        <v>1971</v>
      </c>
    </row>
    <row r="487" spans="2:9" x14ac:dyDescent="0.25">
      <c r="B487" t="s">
        <v>1979</v>
      </c>
      <c r="C487" t="s">
        <v>120</v>
      </c>
      <c r="D487" t="s">
        <v>540</v>
      </c>
      <c r="E487" t="s">
        <v>541</v>
      </c>
      <c r="F487">
        <v>40</v>
      </c>
      <c r="G487" t="s">
        <v>1980</v>
      </c>
      <c r="H487" t="s">
        <v>1606</v>
      </c>
      <c r="I487" t="s">
        <v>1971</v>
      </c>
    </row>
    <row r="488" spans="2:9" x14ac:dyDescent="0.25">
      <c r="B488" t="s">
        <v>1979</v>
      </c>
      <c r="C488" t="s">
        <v>120</v>
      </c>
      <c r="D488" t="s">
        <v>540</v>
      </c>
      <c r="E488" t="s">
        <v>541</v>
      </c>
      <c r="F488">
        <v>60</v>
      </c>
      <c r="G488" t="s">
        <v>2226</v>
      </c>
      <c r="H488" t="s">
        <v>1736</v>
      </c>
      <c r="I488" t="s">
        <v>1971</v>
      </c>
    </row>
    <row r="489" spans="2:9" x14ac:dyDescent="0.25">
      <c r="B489" t="s">
        <v>1979</v>
      </c>
      <c r="C489" t="s">
        <v>120</v>
      </c>
      <c r="D489" t="s">
        <v>540</v>
      </c>
      <c r="E489" t="s">
        <v>541</v>
      </c>
      <c r="F489">
        <v>60</v>
      </c>
      <c r="G489" t="s">
        <v>1990</v>
      </c>
      <c r="H489" t="s">
        <v>1614</v>
      </c>
      <c r="I489" t="s">
        <v>1971</v>
      </c>
    </row>
    <row r="490" spans="2:9" x14ac:dyDescent="0.25">
      <c r="B490" t="s">
        <v>1979</v>
      </c>
      <c r="C490" t="s">
        <v>120</v>
      </c>
      <c r="D490" t="s">
        <v>540</v>
      </c>
      <c r="E490" t="s">
        <v>541</v>
      </c>
      <c r="F490">
        <v>40</v>
      </c>
      <c r="G490" t="s">
        <v>1991</v>
      </c>
      <c r="H490" t="s">
        <v>1614</v>
      </c>
      <c r="I490" t="s">
        <v>1971</v>
      </c>
    </row>
    <row r="491" spans="2:9" x14ac:dyDescent="0.25">
      <c r="B491" t="s">
        <v>1979</v>
      </c>
      <c r="C491" t="s">
        <v>120</v>
      </c>
      <c r="D491" t="s">
        <v>540</v>
      </c>
      <c r="E491" t="s">
        <v>541</v>
      </c>
      <c r="F491">
        <v>440</v>
      </c>
      <c r="G491" t="s">
        <v>2078</v>
      </c>
      <c r="H491" t="s">
        <v>1634</v>
      </c>
      <c r="I491" t="s">
        <v>1971</v>
      </c>
    </row>
    <row r="492" spans="2:9" x14ac:dyDescent="0.25">
      <c r="B492" t="s">
        <v>1979</v>
      </c>
      <c r="C492" t="s">
        <v>120</v>
      </c>
      <c r="D492" t="s">
        <v>540</v>
      </c>
      <c r="E492" t="s">
        <v>541</v>
      </c>
      <c r="F492">
        <v>60</v>
      </c>
      <c r="G492" t="s">
        <v>2145</v>
      </c>
      <c r="H492" t="s">
        <v>1786</v>
      </c>
      <c r="I492" t="s">
        <v>1971</v>
      </c>
    </row>
    <row r="493" spans="2:9" x14ac:dyDescent="0.25">
      <c r="B493" t="s">
        <v>1979</v>
      </c>
      <c r="C493" t="s">
        <v>120</v>
      </c>
      <c r="D493" t="s">
        <v>540</v>
      </c>
      <c r="E493" t="s">
        <v>541</v>
      </c>
      <c r="F493">
        <v>220</v>
      </c>
      <c r="G493" t="s">
        <v>2039</v>
      </c>
      <c r="H493" t="s">
        <v>1616</v>
      </c>
      <c r="I493" t="s">
        <v>1971</v>
      </c>
    </row>
    <row r="494" spans="2:9" x14ac:dyDescent="0.25">
      <c r="B494" t="s">
        <v>1979</v>
      </c>
      <c r="C494" t="s">
        <v>120</v>
      </c>
      <c r="D494" t="s">
        <v>540</v>
      </c>
      <c r="E494" t="s">
        <v>541</v>
      </c>
      <c r="F494">
        <v>80</v>
      </c>
      <c r="G494" t="s">
        <v>2039</v>
      </c>
      <c r="H494" t="s">
        <v>1616</v>
      </c>
      <c r="I494" t="s">
        <v>1971</v>
      </c>
    </row>
    <row r="495" spans="2:9" x14ac:dyDescent="0.25">
      <c r="B495" t="s">
        <v>1979</v>
      </c>
      <c r="C495" t="s">
        <v>120</v>
      </c>
      <c r="D495" t="s">
        <v>540</v>
      </c>
      <c r="E495" t="s">
        <v>541</v>
      </c>
      <c r="F495">
        <v>40</v>
      </c>
      <c r="G495" t="s">
        <v>2554</v>
      </c>
      <c r="H495" t="s">
        <v>1706</v>
      </c>
      <c r="I495" t="s">
        <v>1971</v>
      </c>
    </row>
    <row r="496" spans="2:9" x14ac:dyDescent="0.25">
      <c r="B496" t="s">
        <v>1979</v>
      </c>
      <c r="C496" t="s">
        <v>120</v>
      </c>
      <c r="D496" t="s">
        <v>540</v>
      </c>
      <c r="E496" t="s">
        <v>541</v>
      </c>
      <c r="F496">
        <v>500</v>
      </c>
      <c r="G496" t="s">
        <v>1986</v>
      </c>
      <c r="H496" t="s">
        <v>1789</v>
      </c>
      <c r="I496" t="s">
        <v>1971</v>
      </c>
    </row>
    <row r="497" spans="2:9" x14ac:dyDescent="0.25">
      <c r="B497" t="s">
        <v>1979</v>
      </c>
      <c r="C497" t="s">
        <v>120</v>
      </c>
      <c r="D497" t="s">
        <v>540</v>
      </c>
      <c r="E497" t="s">
        <v>541</v>
      </c>
      <c r="F497">
        <v>200</v>
      </c>
      <c r="G497" t="s">
        <v>1986</v>
      </c>
      <c r="H497" t="s">
        <v>1789</v>
      </c>
      <c r="I497" t="s">
        <v>1971</v>
      </c>
    </row>
    <row r="498" spans="2:9" x14ac:dyDescent="0.25">
      <c r="B498" t="s">
        <v>1979</v>
      </c>
      <c r="C498" t="s">
        <v>120</v>
      </c>
      <c r="D498" t="s">
        <v>540</v>
      </c>
      <c r="E498" t="s">
        <v>541</v>
      </c>
      <c r="F498">
        <v>600</v>
      </c>
      <c r="G498" t="s">
        <v>2228</v>
      </c>
      <c r="H498" t="s">
        <v>1789</v>
      </c>
      <c r="I498" t="s">
        <v>1971</v>
      </c>
    </row>
    <row r="499" spans="2:9" x14ac:dyDescent="0.25">
      <c r="B499" t="s">
        <v>1979</v>
      </c>
      <c r="C499" t="s">
        <v>120</v>
      </c>
      <c r="D499" t="s">
        <v>540</v>
      </c>
      <c r="E499" t="s">
        <v>541</v>
      </c>
      <c r="F499">
        <v>100</v>
      </c>
      <c r="G499" t="s">
        <v>2099</v>
      </c>
      <c r="H499" t="s">
        <v>1779</v>
      </c>
      <c r="I499" t="s">
        <v>1971</v>
      </c>
    </row>
    <row r="500" spans="2:9" x14ac:dyDescent="0.25">
      <c r="B500" t="s">
        <v>1979</v>
      </c>
      <c r="C500" t="s">
        <v>120</v>
      </c>
      <c r="D500" t="s">
        <v>540</v>
      </c>
      <c r="E500" t="s">
        <v>541</v>
      </c>
      <c r="F500">
        <v>500</v>
      </c>
      <c r="G500" t="s">
        <v>1987</v>
      </c>
      <c r="H500" t="s">
        <v>1826</v>
      </c>
      <c r="I500" t="s">
        <v>1971</v>
      </c>
    </row>
    <row r="501" spans="2:9" x14ac:dyDescent="0.25">
      <c r="B501" t="s">
        <v>1979</v>
      </c>
      <c r="C501" t="s">
        <v>120</v>
      </c>
      <c r="D501" t="s">
        <v>540</v>
      </c>
      <c r="E501" t="s">
        <v>541</v>
      </c>
      <c r="F501">
        <v>480</v>
      </c>
      <c r="G501" t="s">
        <v>2219</v>
      </c>
      <c r="H501" t="s">
        <v>1751</v>
      </c>
      <c r="I501" t="s">
        <v>1971</v>
      </c>
    </row>
    <row r="502" spans="2:9" x14ac:dyDescent="0.25">
      <c r="B502" t="s">
        <v>1979</v>
      </c>
      <c r="C502" t="s">
        <v>120</v>
      </c>
      <c r="D502" t="s">
        <v>540</v>
      </c>
      <c r="E502" t="s">
        <v>541</v>
      </c>
      <c r="F502">
        <v>260</v>
      </c>
      <c r="G502" t="s">
        <v>2160</v>
      </c>
      <c r="H502" t="s">
        <v>1867</v>
      </c>
      <c r="I502" t="s">
        <v>1971</v>
      </c>
    </row>
    <row r="503" spans="2:9" x14ac:dyDescent="0.25">
      <c r="B503" t="s">
        <v>1979</v>
      </c>
      <c r="C503" t="s">
        <v>120</v>
      </c>
      <c r="D503" t="s">
        <v>540</v>
      </c>
      <c r="E503" t="s">
        <v>541</v>
      </c>
      <c r="F503">
        <v>500</v>
      </c>
      <c r="G503" t="s">
        <v>2220</v>
      </c>
      <c r="H503" t="s">
        <v>1867</v>
      </c>
      <c r="I503" t="s">
        <v>1971</v>
      </c>
    </row>
    <row r="504" spans="2:9" x14ac:dyDescent="0.25">
      <c r="B504" t="s">
        <v>1979</v>
      </c>
      <c r="C504" t="s">
        <v>120</v>
      </c>
      <c r="D504" t="s">
        <v>540</v>
      </c>
      <c r="E504" t="s">
        <v>541</v>
      </c>
      <c r="F504">
        <v>1000</v>
      </c>
      <c r="G504" t="s">
        <v>2030</v>
      </c>
      <c r="H504" t="s">
        <v>1672</v>
      </c>
      <c r="I504" t="s">
        <v>1971</v>
      </c>
    </row>
    <row r="505" spans="2:9" x14ac:dyDescent="0.25">
      <c r="B505" t="s">
        <v>1979</v>
      </c>
      <c r="C505" t="s">
        <v>120</v>
      </c>
      <c r="D505" t="s">
        <v>540</v>
      </c>
      <c r="E505" t="s">
        <v>541</v>
      </c>
      <c r="F505">
        <v>2000</v>
      </c>
      <c r="G505" t="s">
        <v>1995</v>
      </c>
      <c r="H505" t="s">
        <v>1672</v>
      </c>
      <c r="I505" t="s">
        <v>1971</v>
      </c>
    </row>
    <row r="506" spans="2:9" x14ac:dyDescent="0.25">
      <c r="B506" t="s">
        <v>1979</v>
      </c>
      <c r="C506" t="s">
        <v>120</v>
      </c>
      <c r="D506" t="s">
        <v>540</v>
      </c>
      <c r="E506" t="s">
        <v>541</v>
      </c>
      <c r="F506">
        <v>80</v>
      </c>
      <c r="G506" t="s">
        <v>1985</v>
      </c>
      <c r="H506" t="s">
        <v>1775</v>
      </c>
      <c r="I506" t="s">
        <v>1971</v>
      </c>
    </row>
    <row r="507" spans="2:9" x14ac:dyDescent="0.25">
      <c r="B507" t="s">
        <v>1979</v>
      </c>
      <c r="C507" t="s">
        <v>120</v>
      </c>
      <c r="D507" t="s">
        <v>540</v>
      </c>
      <c r="E507" t="s">
        <v>541</v>
      </c>
      <c r="F507">
        <v>360</v>
      </c>
      <c r="G507" t="s">
        <v>2042</v>
      </c>
      <c r="H507" t="s">
        <v>1712</v>
      </c>
      <c r="I507" t="s">
        <v>1971</v>
      </c>
    </row>
    <row r="508" spans="2:9" x14ac:dyDescent="0.25">
      <c r="B508" t="s">
        <v>1979</v>
      </c>
      <c r="C508" t="s">
        <v>120</v>
      </c>
      <c r="D508" t="s">
        <v>540</v>
      </c>
      <c r="E508" t="s">
        <v>541</v>
      </c>
      <c r="F508">
        <v>680</v>
      </c>
      <c r="G508" t="s">
        <v>1998</v>
      </c>
      <c r="H508" t="s">
        <v>1608</v>
      </c>
      <c r="I508" t="s">
        <v>1971</v>
      </c>
    </row>
    <row r="509" spans="2:9" x14ac:dyDescent="0.25">
      <c r="B509" t="s">
        <v>1979</v>
      </c>
      <c r="C509" t="s">
        <v>120</v>
      </c>
      <c r="D509" t="s">
        <v>540</v>
      </c>
      <c r="E509" t="s">
        <v>541</v>
      </c>
      <c r="F509">
        <v>820</v>
      </c>
      <c r="G509" t="s">
        <v>1998</v>
      </c>
      <c r="H509" t="s">
        <v>1608</v>
      </c>
      <c r="I509" t="s">
        <v>1971</v>
      </c>
    </row>
    <row r="510" spans="2:9" x14ac:dyDescent="0.25">
      <c r="B510" t="s">
        <v>1979</v>
      </c>
      <c r="C510" t="s">
        <v>120</v>
      </c>
      <c r="D510" t="s">
        <v>540</v>
      </c>
      <c r="E510" t="s">
        <v>541</v>
      </c>
      <c r="F510">
        <v>40</v>
      </c>
      <c r="G510" t="s">
        <v>2111</v>
      </c>
      <c r="H510" t="s">
        <v>1746</v>
      </c>
      <c r="I510" t="s">
        <v>1971</v>
      </c>
    </row>
    <row r="511" spans="2:9" x14ac:dyDescent="0.25">
      <c r="B511" t="s">
        <v>1979</v>
      </c>
      <c r="C511" t="s">
        <v>120</v>
      </c>
      <c r="D511" t="s">
        <v>540</v>
      </c>
      <c r="E511" t="s">
        <v>541</v>
      </c>
      <c r="F511">
        <v>2000</v>
      </c>
      <c r="G511" t="s">
        <v>1981</v>
      </c>
      <c r="H511" t="s">
        <v>1627</v>
      </c>
      <c r="I511" t="s">
        <v>1971</v>
      </c>
    </row>
    <row r="512" spans="2:9" x14ac:dyDescent="0.25">
      <c r="B512" t="s">
        <v>1979</v>
      </c>
      <c r="C512" t="s">
        <v>120</v>
      </c>
      <c r="D512" t="s">
        <v>540</v>
      </c>
      <c r="E512" t="s">
        <v>541</v>
      </c>
      <c r="F512">
        <v>3000</v>
      </c>
      <c r="G512" t="s">
        <v>1982</v>
      </c>
      <c r="H512" t="s">
        <v>1627</v>
      </c>
      <c r="I512" t="s">
        <v>1971</v>
      </c>
    </row>
    <row r="513" spans="2:9" x14ac:dyDescent="0.25">
      <c r="B513" t="s">
        <v>1979</v>
      </c>
      <c r="C513" t="s">
        <v>120</v>
      </c>
      <c r="D513" t="s">
        <v>540</v>
      </c>
      <c r="E513" t="s">
        <v>541</v>
      </c>
      <c r="F513">
        <v>40</v>
      </c>
      <c r="G513" t="s">
        <v>2223</v>
      </c>
      <c r="H513" t="s">
        <v>2110</v>
      </c>
      <c r="I513" t="s">
        <v>1971</v>
      </c>
    </row>
    <row r="514" spans="2:9" x14ac:dyDescent="0.25">
      <c r="B514" t="s">
        <v>1979</v>
      </c>
      <c r="C514" t="s">
        <v>120</v>
      </c>
      <c r="D514" t="s">
        <v>540</v>
      </c>
      <c r="E514" t="s">
        <v>541</v>
      </c>
      <c r="F514">
        <v>180</v>
      </c>
      <c r="G514" t="s">
        <v>2204</v>
      </c>
      <c r="H514" t="s">
        <v>2110</v>
      </c>
      <c r="I514" t="s">
        <v>1971</v>
      </c>
    </row>
    <row r="515" spans="2:9" x14ac:dyDescent="0.25">
      <c r="B515" t="s">
        <v>1979</v>
      </c>
      <c r="C515" t="s">
        <v>120</v>
      </c>
      <c r="D515" t="s">
        <v>540</v>
      </c>
      <c r="E515" t="s">
        <v>541</v>
      </c>
      <c r="F515">
        <v>100</v>
      </c>
      <c r="G515" t="s">
        <v>2114</v>
      </c>
      <c r="H515" t="s">
        <v>1806</v>
      </c>
      <c r="I515" t="s">
        <v>1971</v>
      </c>
    </row>
    <row r="516" spans="2:9" x14ac:dyDescent="0.25">
      <c r="B516" t="s">
        <v>1979</v>
      </c>
      <c r="C516" t="s">
        <v>120</v>
      </c>
      <c r="D516" t="s">
        <v>540</v>
      </c>
      <c r="E516" t="s">
        <v>541</v>
      </c>
      <c r="F516">
        <v>180</v>
      </c>
      <c r="G516" t="s">
        <v>2224</v>
      </c>
      <c r="H516" t="s">
        <v>1654</v>
      </c>
      <c r="I516" t="s">
        <v>1971</v>
      </c>
    </row>
    <row r="517" spans="2:9" x14ac:dyDescent="0.25">
      <c r="B517" t="s">
        <v>1979</v>
      </c>
      <c r="C517" t="s">
        <v>120</v>
      </c>
      <c r="D517" t="s">
        <v>540</v>
      </c>
      <c r="E517" t="s">
        <v>541</v>
      </c>
      <c r="F517">
        <v>2000</v>
      </c>
      <c r="G517" t="s">
        <v>2000</v>
      </c>
      <c r="H517" t="s">
        <v>1622</v>
      </c>
      <c r="I517" t="s">
        <v>1971</v>
      </c>
    </row>
    <row r="518" spans="2:9" x14ac:dyDescent="0.25">
      <c r="B518" t="s">
        <v>1979</v>
      </c>
      <c r="C518" t="s">
        <v>120</v>
      </c>
      <c r="D518" t="s">
        <v>540</v>
      </c>
      <c r="E518" t="s">
        <v>541</v>
      </c>
      <c r="F518">
        <v>1260</v>
      </c>
      <c r="G518" t="s">
        <v>2221</v>
      </c>
      <c r="H518" t="s">
        <v>1663</v>
      </c>
      <c r="I518" t="s">
        <v>1971</v>
      </c>
    </row>
    <row r="519" spans="2:9" x14ac:dyDescent="0.25">
      <c r="B519" t="s">
        <v>1979</v>
      </c>
      <c r="C519" t="s">
        <v>120</v>
      </c>
      <c r="D519" t="s">
        <v>1014</v>
      </c>
      <c r="E519" t="s">
        <v>1015</v>
      </c>
      <c r="F519">
        <v>60</v>
      </c>
      <c r="G519" t="s">
        <v>2202</v>
      </c>
      <c r="H519" t="s">
        <v>1660</v>
      </c>
      <c r="I519" t="s">
        <v>1971</v>
      </c>
    </row>
    <row r="520" spans="2:9" x14ac:dyDescent="0.25">
      <c r="B520" t="s">
        <v>1979</v>
      </c>
      <c r="C520" t="s">
        <v>120</v>
      </c>
      <c r="D520" t="s">
        <v>1014</v>
      </c>
      <c r="E520" t="s">
        <v>1015</v>
      </c>
      <c r="F520">
        <v>17</v>
      </c>
      <c r="G520" t="s">
        <v>2039</v>
      </c>
      <c r="H520" t="s">
        <v>1616</v>
      </c>
      <c r="I520" t="s">
        <v>1971</v>
      </c>
    </row>
    <row r="521" spans="2:9" x14ac:dyDescent="0.25">
      <c r="B521" t="s">
        <v>1979</v>
      </c>
      <c r="C521" t="s">
        <v>120</v>
      </c>
      <c r="D521" t="s">
        <v>1014</v>
      </c>
      <c r="E521" t="s">
        <v>1015</v>
      </c>
      <c r="F521">
        <v>43</v>
      </c>
      <c r="G521" t="s">
        <v>2039</v>
      </c>
      <c r="H521" t="s">
        <v>1616</v>
      </c>
      <c r="I521" t="s">
        <v>1971</v>
      </c>
    </row>
    <row r="522" spans="2:9" x14ac:dyDescent="0.25">
      <c r="B522" t="s">
        <v>1979</v>
      </c>
      <c r="C522" t="s">
        <v>120</v>
      </c>
      <c r="D522" t="s">
        <v>1014</v>
      </c>
      <c r="E522" t="s">
        <v>1015</v>
      </c>
      <c r="F522">
        <v>24</v>
      </c>
      <c r="G522" t="s">
        <v>1988</v>
      </c>
      <c r="H522" t="s">
        <v>1806</v>
      </c>
      <c r="I522" t="s">
        <v>1971</v>
      </c>
    </row>
    <row r="523" spans="2:9" x14ac:dyDescent="0.25">
      <c r="B523" t="s">
        <v>1979</v>
      </c>
      <c r="C523" t="s">
        <v>120</v>
      </c>
      <c r="D523" t="s">
        <v>1014</v>
      </c>
      <c r="E523" t="s">
        <v>1015</v>
      </c>
      <c r="F523">
        <v>12</v>
      </c>
      <c r="G523" t="s">
        <v>2064</v>
      </c>
      <c r="H523" t="s">
        <v>1654</v>
      </c>
      <c r="I523" t="s">
        <v>1971</v>
      </c>
    </row>
    <row r="524" spans="2:9" x14ac:dyDescent="0.25">
      <c r="B524" t="s">
        <v>1979</v>
      </c>
      <c r="C524" t="s">
        <v>120</v>
      </c>
      <c r="D524" t="s">
        <v>1014</v>
      </c>
      <c r="E524" t="s">
        <v>1015</v>
      </c>
      <c r="F524">
        <v>5</v>
      </c>
      <c r="G524" t="s">
        <v>2034</v>
      </c>
      <c r="H524" t="s">
        <v>1712</v>
      </c>
      <c r="I524" t="s">
        <v>1971</v>
      </c>
    </row>
    <row r="525" spans="2:9" x14ac:dyDescent="0.25">
      <c r="B525" t="s">
        <v>1979</v>
      </c>
      <c r="C525" t="s">
        <v>120</v>
      </c>
      <c r="D525" t="s">
        <v>1014</v>
      </c>
      <c r="E525" t="s">
        <v>1015</v>
      </c>
      <c r="F525">
        <v>23</v>
      </c>
      <c r="G525" t="s">
        <v>2034</v>
      </c>
      <c r="H525" t="s">
        <v>1712</v>
      </c>
      <c r="I525" t="s">
        <v>1971</v>
      </c>
    </row>
    <row r="526" spans="2:9" x14ac:dyDescent="0.25">
      <c r="B526" t="s">
        <v>1979</v>
      </c>
      <c r="C526" t="s">
        <v>120</v>
      </c>
      <c r="D526" t="s">
        <v>1014</v>
      </c>
      <c r="E526" t="s">
        <v>1015</v>
      </c>
      <c r="F526">
        <v>8</v>
      </c>
      <c r="G526" t="s">
        <v>2034</v>
      </c>
      <c r="H526" t="s">
        <v>1712</v>
      </c>
      <c r="I526" t="s">
        <v>1971</v>
      </c>
    </row>
    <row r="527" spans="2:9" x14ac:dyDescent="0.25">
      <c r="B527" t="s">
        <v>1979</v>
      </c>
      <c r="C527" t="s">
        <v>120</v>
      </c>
      <c r="D527" t="s">
        <v>1014</v>
      </c>
      <c r="E527" t="s">
        <v>1015</v>
      </c>
      <c r="F527">
        <v>120</v>
      </c>
      <c r="G527" t="s">
        <v>1998</v>
      </c>
      <c r="H527" t="s">
        <v>1608</v>
      </c>
      <c r="I527" t="s">
        <v>1971</v>
      </c>
    </row>
    <row r="528" spans="2:9" x14ac:dyDescent="0.25">
      <c r="B528" t="s">
        <v>1979</v>
      </c>
      <c r="C528" t="s">
        <v>237</v>
      </c>
      <c r="D528" t="s">
        <v>596</v>
      </c>
      <c r="E528" t="s">
        <v>597</v>
      </c>
      <c r="F528">
        <v>60</v>
      </c>
      <c r="G528" t="s">
        <v>2544</v>
      </c>
      <c r="H528" t="s">
        <v>1742</v>
      </c>
      <c r="I528" t="s">
        <v>1971</v>
      </c>
    </row>
    <row r="529" spans="2:9" x14ac:dyDescent="0.25">
      <c r="B529" t="s">
        <v>1979</v>
      </c>
      <c r="C529" t="s">
        <v>352</v>
      </c>
      <c r="D529" t="s">
        <v>1320</v>
      </c>
      <c r="E529" t="s">
        <v>1321</v>
      </c>
      <c r="F529">
        <v>10</v>
      </c>
      <c r="G529" t="s">
        <v>1998</v>
      </c>
      <c r="H529" t="s">
        <v>1608</v>
      </c>
      <c r="I529" t="s">
        <v>1971</v>
      </c>
    </row>
    <row r="530" spans="2:9" x14ac:dyDescent="0.25">
      <c r="B530" t="s">
        <v>1979</v>
      </c>
      <c r="C530" t="s">
        <v>352</v>
      </c>
      <c r="D530" t="s">
        <v>1320</v>
      </c>
      <c r="E530" t="s">
        <v>1321</v>
      </c>
      <c r="F530">
        <v>190</v>
      </c>
      <c r="G530" t="s">
        <v>1998</v>
      </c>
      <c r="H530" t="s">
        <v>1608</v>
      </c>
      <c r="I530" t="s">
        <v>1971</v>
      </c>
    </row>
    <row r="531" spans="2:9" x14ac:dyDescent="0.25">
      <c r="B531" t="s">
        <v>1979</v>
      </c>
      <c r="C531" t="s">
        <v>11</v>
      </c>
      <c r="D531" t="s">
        <v>1326</v>
      </c>
      <c r="E531" t="s">
        <v>1327</v>
      </c>
      <c r="F531">
        <v>20</v>
      </c>
      <c r="G531" t="s">
        <v>2036</v>
      </c>
      <c r="H531" t="s">
        <v>1751</v>
      </c>
      <c r="I531" t="s">
        <v>1971</v>
      </c>
    </row>
    <row r="532" spans="2:9" x14ac:dyDescent="0.25">
      <c r="B532" t="s">
        <v>1979</v>
      </c>
      <c r="C532" t="s">
        <v>11</v>
      </c>
      <c r="D532" t="s">
        <v>1326</v>
      </c>
      <c r="E532" t="s">
        <v>1327</v>
      </c>
      <c r="F532">
        <v>1200</v>
      </c>
      <c r="G532" t="s">
        <v>2041</v>
      </c>
      <c r="H532" t="s">
        <v>1751</v>
      </c>
      <c r="I532" t="s">
        <v>1971</v>
      </c>
    </row>
    <row r="533" spans="2:9" x14ac:dyDescent="0.25">
      <c r="B533" t="s">
        <v>1979</v>
      </c>
      <c r="C533" t="s">
        <v>11</v>
      </c>
      <c r="D533" t="s">
        <v>1326</v>
      </c>
      <c r="E533" t="s">
        <v>1327</v>
      </c>
      <c r="F533">
        <v>1000</v>
      </c>
      <c r="G533" t="s">
        <v>2095</v>
      </c>
      <c r="H533" t="s">
        <v>1718</v>
      </c>
      <c r="I533" t="s">
        <v>1971</v>
      </c>
    </row>
    <row r="534" spans="2:9" x14ac:dyDescent="0.25">
      <c r="B534" t="s">
        <v>1979</v>
      </c>
      <c r="C534" t="s">
        <v>11</v>
      </c>
      <c r="D534" t="s">
        <v>1326</v>
      </c>
      <c r="E534" t="s">
        <v>1327</v>
      </c>
      <c r="F534">
        <v>200</v>
      </c>
      <c r="G534" t="s">
        <v>2096</v>
      </c>
      <c r="H534" t="s">
        <v>1718</v>
      </c>
      <c r="I534" t="s">
        <v>1971</v>
      </c>
    </row>
    <row r="535" spans="2:9" x14ac:dyDescent="0.25">
      <c r="B535" t="s">
        <v>1979</v>
      </c>
      <c r="C535" t="s">
        <v>11</v>
      </c>
      <c r="D535" t="s">
        <v>1326</v>
      </c>
      <c r="E535" t="s">
        <v>1327</v>
      </c>
      <c r="F535">
        <v>200</v>
      </c>
      <c r="G535" t="s">
        <v>2097</v>
      </c>
      <c r="H535" t="s">
        <v>1672</v>
      </c>
      <c r="I535" t="s">
        <v>1971</v>
      </c>
    </row>
    <row r="536" spans="2:9" x14ac:dyDescent="0.25">
      <c r="B536" t="s">
        <v>1979</v>
      </c>
      <c r="C536" t="s">
        <v>11</v>
      </c>
      <c r="D536" t="s">
        <v>1326</v>
      </c>
      <c r="E536" t="s">
        <v>1327</v>
      </c>
      <c r="F536">
        <v>100</v>
      </c>
      <c r="G536" t="s">
        <v>2098</v>
      </c>
      <c r="H536" t="s">
        <v>1672</v>
      </c>
      <c r="I536" t="s">
        <v>1971</v>
      </c>
    </row>
    <row r="537" spans="2:9" x14ac:dyDescent="0.25">
      <c r="B537" t="s">
        <v>1979</v>
      </c>
      <c r="C537" t="s">
        <v>11</v>
      </c>
      <c r="D537" t="s">
        <v>1326</v>
      </c>
      <c r="E537" t="s">
        <v>1327</v>
      </c>
      <c r="F537">
        <v>300</v>
      </c>
      <c r="G537" t="s">
        <v>2000</v>
      </c>
      <c r="H537" t="s">
        <v>1622</v>
      </c>
      <c r="I537" t="s">
        <v>1971</v>
      </c>
    </row>
    <row r="538" spans="2:9" x14ac:dyDescent="0.25">
      <c r="B538" t="s">
        <v>1979</v>
      </c>
      <c r="C538" t="s">
        <v>11</v>
      </c>
      <c r="D538" t="s">
        <v>1326</v>
      </c>
      <c r="E538" t="s">
        <v>1327</v>
      </c>
      <c r="F538">
        <v>40</v>
      </c>
      <c r="G538" t="s">
        <v>2099</v>
      </c>
      <c r="H538" t="s">
        <v>1779</v>
      </c>
      <c r="I538" t="s">
        <v>1971</v>
      </c>
    </row>
    <row r="539" spans="2:9" x14ac:dyDescent="0.25">
      <c r="B539" t="s">
        <v>1979</v>
      </c>
      <c r="C539" t="s">
        <v>11</v>
      </c>
      <c r="D539" t="s">
        <v>1326</v>
      </c>
      <c r="E539" t="s">
        <v>1327</v>
      </c>
      <c r="F539">
        <v>20</v>
      </c>
      <c r="G539" t="s">
        <v>2099</v>
      </c>
      <c r="H539" t="s">
        <v>1779</v>
      </c>
      <c r="I539" t="s">
        <v>1971</v>
      </c>
    </row>
    <row r="540" spans="2:9" x14ac:dyDescent="0.25">
      <c r="B540" t="s">
        <v>1979</v>
      </c>
      <c r="C540" t="s">
        <v>11</v>
      </c>
      <c r="D540" t="s">
        <v>1326</v>
      </c>
      <c r="E540" t="s">
        <v>1327</v>
      </c>
      <c r="F540">
        <v>40</v>
      </c>
      <c r="G540" t="s">
        <v>2099</v>
      </c>
      <c r="H540" t="s">
        <v>1779</v>
      </c>
      <c r="I540" t="s">
        <v>1971</v>
      </c>
    </row>
    <row r="541" spans="2:9" x14ac:dyDescent="0.25">
      <c r="B541" t="s">
        <v>1979</v>
      </c>
      <c r="C541" t="s">
        <v>11</v>
      </c>
      <c r="D541" t="s">
        <v>1326</v>
      </c>
      <c r="E541" t="s">
        <v>1327</v>
      </c>
      <c r="F541">
        <v>40</v>
      </c>
      <c r="G541" t="s">
        <v>2061</v>
      </c>
      <c r="H541" t="s">
        <v>1793</v>
      </c>
      <c r="I541" t="s">
        <v>1971</v>
      </c>
    </row>
    <row r="542" spans="2:9" x14ac:dyDescent="0.25">
      <c r="B542" t="s">
        <v>1979</v>
      </c>
      <c r="C542" t="s">
        <v>11</v>
      </c>
      <c r="D542" t="s">
        <v>1326</v>
      </c>
      <c r="E542" t="s">
        <v>1327</v>
      </c>
      <c r="F542">
        <v>2000</v>
      </c>
      <c r="G542" t="s">
        <v>1997</v>
      </c>
      <c r="H542" t="s">
        <v>1815</v>
      </c>
      <c r="I542" t="s">
        <v>1971</v>
      </c>
    </row>
    <row r="543" spans="2:9" x14ac:dyDescent="0.25">
      <c r="B543" t="s">
        <v>1979</v>
      </c>
      <c r="C543" t="s">
        <v>11</v>
      </c>
      <c r="D543" t="s">
        <v>1326</v>
      </c>
      <c r="E543" t="s">
        <v>1327</v>
      </c>
      <c r="F543">
        <v>200</v>
      </c>
      <c r="G543" t="s">
        <v>2062</v>
      </c>
      <c r="H543" t="s">
        <v>1653</v>
      </c>
      <c r="I543" t="s">
        <v>1971</v>
      </c>
    </row>
    <row r="544" spans="2:9" x14ac:dyDescent="0.25">
      <c r="B544" t="s">
        <v>1979</v>
      </c>
      <c r="C544" t="s">
        <v>11</v>
      </c>
      <c r="D544" t="s">
        <v>1326</v>
      </c>
      <c r="E544" t="s">
        <v>1327</v>
      </c>
      <c r="F544">
        <v>40</v>
      </c>
      <c r="G544" t="s">
        <v>2554</v>
      </c>
      <c r="H544" t="s">
        <v>1706</v>
      </c>
      <c r="I544" t="s">
        <v>1971</v>
      </c>
    </row>
    <row r="545" spans="2:9" x14ac:dyDescent="0.25">
      <c r="B545" t="s">
        <v>1979</v>
      </c>
      <c r="C545" t="s">
        <v>11</v>
      </c>
      <c r="D545" t="s">
        <v>1326</v>
      </c>
      <c r="E545" t="s">
        <v>1327</v>
      </c>
      <c r="F545">
        <v>360</v>
      </c>
      <c r="G545" t="s">
        <v>2100</v>
      </c>
      <c r="H545" t="s">
        <v>1789</v>
      </c>
      <c r="I545" t="s">
        <v>1971</v>
      </c>
    </row>
    <row r="546" spans="2:9" x14ac:dyDescent="0.25">
      <c r="B546" t="s">
        <v>1979</v>
      </c>
      <c r="C546" t="s">
        <v>11</v>
      </c>
      <c r="D546" t="s">
        <v>1326</v>
      </c>
      <c r="E546" t="s">
        <v>1327</v>
      </c>
      <c r="F546">
        <v>160</v>
      </c>
      <c r="G546" t="s">
        <v>2101</v>
      </c>
      <c r="H546" t="s">
        <v>1789</v>
      </c>
      <c r="I546" t="s">
        <v>1971</v>
      </c>
    </row>
    <row r="547" spans="2:9" x14ac:dyDescent="0.25">
      <c r="B547" t="s">
        <v>1979</v>
      </c>
      <c r="C547" t="s">
        <v>11</v>
      </c>
      <c r="D547" t="s">
        <v>1326</v>
      </c>
      <c r="E547" t="s">
        <v>1327</v>
      </c>
      <c r="F547">
        <v>340</v>
      </c>
      <c r="G547" t="s">
        <v>2102</v>
      </c>
      <c r="H547" t="s">
        <v>1870</v>
      </c>
      <c r="I547" t="s">
        <v>1971</v>
      </c>
    </row>
    <row r="548" spans="2:9" x14ac:dyDescent="0.25">
      <c r="B548" t="s">
        <v>1979</v>
      </c>
      <c r="C548" t="s">
        <v>11</v>
      </c>
      <c r="D548" t="s">
        <v>1326</v>
      </c>
      <c r="E548" t="s">
        <v>1327</v>
      </c>
      <c r="F548">
        <v>1420</v>
      </c>
      <c r="G548" t="s">
        <v>2544</v>
      </c>
      <c r="H548" t="s">
        <v>1742</v>
      </c>
      <c r="I548" t="s">
        <v>1971</v>
      </c>
    </row>
    <row r="549" spans="2:9" x14ac:dyDescent="0.25">
      <c r="B549" t="s">
        <v>1979</v>
      </c>
      <c r="C549" t="s">
        <v>11</v>
      </c>
      <c r="D549" t="s">
        <v>1326</v>
      </c>
      <c r="E549" t="s">
        <v>1327</v>
      </c>
      <c r="F549">
        <v>40</v>
      </c>
      <c r="G549" t="s">
        <v>2103</v>
      </c>
      <c r="H549" t="s">
        <v>1640</v>
      </c>
      <c r="I549" t="s">
        <v>1971</v>
      </c>
    </row>
    <row r="550" spans="2:9" x14ac:dyDescent="0.25">
      <c r="B550" t="s">
        <v>1979</v>
      </c>
      <c r="C550" t="s">
        <v>11</v>
      </c>
      <c r="D550" t="s">
        <v>1326</v>
      </c>
      <c r="E550" t="s">
        <v>1327</v>
      </c>
      <c r="F550">
        <v>2000</v>
      </c>
      <c r="G550" t="s">
        <v>1995</v>
      </c>
      <c r="H550" t="s">
        <v>1672</v>
      </c>
      <c r="I550" t="s">
        <v>1971</v>
      </c>
    </row>
    <row r="551" spans="2:9" x14ac:dyDescent="0.25">
      <c r="B551" t="s">
        <v>1979</v>
      </c>
      <c r="C551" t="s">
        <v>11</v>
      </c>
      <c r="D551" t="s">
        <v>1326</v>
      </c>
      <c r="E551" t="s">
        <v>1327</v>
      </c>
      <c r="F551">
        <v>80</v>
      </c>
      <c r="G551" t="s">
        <v>1985</v>
      </c>
      <c r="H551" t="s">
        <v>1775</v>
      </c>
      <c r="I551" t="s">
        <v>1971</v>
      </c>
    </row>
    <row r="552" spans="2:9" x14ac:dyDescent="0.25">
      <c r="B552" t="s">
        <v>1979</v>
      </c>
      <c r="C552" t="s">
        <v>11</v>
      </c>
      <c r="D552" t="s">
        <v>1326</v>
      </c>
      <c r="E552" t="s">
        <v>1327</v>
      </c>
      <c r="F552">
        <v>80</v>
      </c>
      <c r="G552" t="s">
        <v>2002</v>
      </c>
      <c r="H552" t="s">
        <v>1631</v>
      </c>
      <c r="I552" t="s">
        <v>1971</v>
      </c>
    </row>
    <row r="553" spans="2:9" x14ac:dyDescent="0.25">
      <c r="B553" t="s">
        <v>1979</v>
      </c>
      <c r="C553" t="s">
        <v>11</v>
      </c>
      <c r="D553" t="s">
        <v>1326</v>
      </c>
      <c r="E553" t="s">
        <v>1327</v>
      </c>
      <c r="F553">
        <v>100</v>
      </c>
      <c r="G553" t="s">
        <v>2104</v>
      </c>
      <c r="H553" t="s">
        <v>1631</v>
      </c>
      <c r="I553" t="s">
        <v>1971</v>
      </c>
    </row>
    <row r="554" spans="2:9" x14ac:dyDescent="0.25">
      <c r="B554" t="s">
        <v>1979</v>
      </c>
      <c r="C554" t="s">
        <v>11</v>
      </c>
      <c r="D554" t="s">
        <v>1326</v>
      </c>
      <c r="E554" t="s">
        <v>1327</v>
      </c>
      <c r="F554">
        <v>700</v>
      </c>
      <c r="G554" t="s">
        <v>2105</v>
      </c>
      <c r="H554" t="s">
        <v>1632</v>
      </c>
      <c r="I554" t="s">
        <v>1971</v>
      </c>
    </row>
    <row r="555" spans="2:9" x14ac:dyDescent="0.25">
      <c r="B555" t="s">
        <v>1979</v>
      </c>
      <c r="C555" t="s">
        <v>11</v>
      </c>
      <c r="D555" t="s">
        <v>1326</v>
      </c>
      <c r="E555" t="s">
        <v>1327</v>
      </c>
      <c r="F555">
        <v>640</v>
      </c>
      <c r="G555" t="s">
        <v>2106</v>
      </c>
      <c r="H555" t="s">
        <v>1632</v>
      </c>
      <c r="I555" t="s">
        <v>1971</v>
      </c>
    </row>
    <row r="556" spans="2:9" x14ac:dyDescent="0.25">
      <c r="B556" t="s">
        <v>1979</v>
      </c>
      <c r="C556" t="s">
        <v>83</v>
      </c>
      <c r="D556" t="s">
        <v>993</v>
      </c>
      <c r="E556" t="s">
        <v>994</v>
      </c>
      <c r="F556">
        <v>100</v>
      </c>
      <c r="G556" t="s">
        <v>2107</v>
      </c>
      <c r="H556" t="s">
        <v>1720</v>
      </c>
      <c r="I556" t="s">
        <v>1971</v>
      </c>
    </row>
    <row r="557" spans="2:9" x14ac:dyDescent="0.25">
      <c r="B557" t="s">
        <v>1979</v>
      </c>
      <c r="C557" t="s">
        <v>83</v>
      </c>
      <c r="D557" t="s">
        <v>993</v>
      </c>
      <c r="E557" t="s">
        <v>994</v>
      </c>
      <c r="F557">
        <v>100</v>
      </c>
      <c r="G557" t="s">
        <v>2108</v>
      </c>
      <c r="H557" t="s">
        <v>1731</v>
      </c>
      <c r="I557" t="s">
        <v>1971</v>
      </c>
    </row>
    <row r="558" spans="2:9" x14ac:dyDescent="0.25">
      <c r="B558" t="s">
        <v>1979</v>
      </c>
      <c r="C558" t="s">
        <v>83</v>
      </c>
      <c r="D558" t="s">
        <v>993</v>
      </c>
      <c r="E558" t="s">
        <v>994</v>
      </c>
      <c r="F558">
        <v>40</v>
      </c>
      <c r="G558" t="s">
        <v>2109</v>
      </c>
      <c r="H558" t="s">
        <v>2110</v>
      </c>
      <c r="I558" t="s">
        <v>1971</v>
      </c>
    </row>
    <row r="559" spans="2:9" x14ac:dyDescent="0.25">
      <c r="B559" t="s">
        <v>1979</v>
      </c>
      <c r="C559" t="s">
        <v>52</v>
      </c>
      <c r="D559" t="s">
        <v>592</v>
      </c>
      <c r="E559" t="s">
        <v>593</v>
      </c>
      <c r="F559">
        <v>12</v>
      </c>
      <c r="G559" t="s">
        <v>2037</v>
      </c>
      <c r="H559" t="s">
        <v>1629</v>
      </c>
      <c r="I559" t="s">
        <v>1971</v>
      </c>
    </row>
    <row r="560" spans="2:9" x14ac:dyDescent="0.25">
      <c r="B560" t="s">
        <v>1979</v>
      </c>
      <c r="C560" t="s">
        <v>52</v>
      </c>
      <c r="D560" t="s">
        <v>592</v>
      </c>
      <c r="E560" t="s">
        <v>593</v>
      </c>
      <c r="F560">
        <v>12</v>
      </c>
      <c r="G560" t="s">
        <v>2040</v>
      </c>
      <c r="H560" t="s">
        <v>1663</v>
      </c>
      <c r="I560" t="s">
        <v>1971</v>
      </c>
    </row>
    <row r="561" spans="2:9" x14ac:dyDescent="0.25">
      <c r="B561" t="s">
        <v>1979</v>
      </c>
      <c r="C561" t="s">
        <v>203</v>
      </c>
      <c r="D561" t="s">
        <v>963</v>
      </c>
      <c r="E561" t="s">
        <v>964</v>
      </c>
      <c r="F561">
        <v>40</v>
      </c>
      <c r="G561" t="s">
        <v>2111</v>
      </c>
      <c r="H561" t="s">
        <v>1746</v>
      </c>
      <c r="I561" t="s">
        <v>1971</v>
      </c>
    </row>
    <row r="562" spans="2:9" x14ac:dyDescent="0.25">
      <c r="B562" t="s">
        <v>1979</v>
      </c>
      <c r="C562" t="s">
        <v>203</v>
      </c>
      <c r="D562" t="s">
        <v>963</v>
      </c>
      <c r="E562" t="s">
        <v>964</v>
      </c>
      <c r="F562">
        <v>60</v>
      </c>
      <c r="G562" t="s">
        <v>2112</v>
      </c>
      <c r="H562" t="s">
        <v>1605</v>
      </c>
      <c r="I562" t="s">
        <v>1971</v>
      </c>
    </row>
    <row r="563" spans="2:9" x14ac:dyDescent="0.25">
      <c r="B563" t="s">
        <v>1979</v>
      </c>
      <c r="C563" t="s">
        <v>203</v>
      </c>
      <c r="D563" t="s">
        <v>963</v>
      </c>
      <c r="E563" t="s">
        <v>964</v>
      </c>
      <c r="F563">
        <v>160</v>
      </c>
      <c r="G563" t="s">
        <v>2113</v>
      </c>
      <c r="H563" t="s">
        <v>1803</v>
      </c>
      <c r="I563" t="s">
        <v>1971</v>
      </c>
    </row>
    <row r="564" spans="2:9" x14ac:dyDescent="0.25">
      <c r="B564" t="s">
        <v>1979</v>
      </c>
      <c r="C564" t="s">
        <v>203</v>
      </c>
      <c r="D564" t="s">
        <v>963</v>
      </c>
      <c r="E564" t="s">
        <v>964</v>
      </c>
      <c r="F564">
        <v>40</v>
      </c>
      <c r="G564" t="s">
        <v>2114</v>
      </c>
      <c r="H564" t="s">
        <v>1806</v>
      </c>
      <c r="I564" t="s">
        <v>1971</v>
      </c>
    </row>
    <row r="565" spans="2:9" x14ac:dyDescent="0.25">
      <c r="B565" t="s">
        <v>1979</v>
      </c>
      <c r="C565" t="s">
        <v>148</v>
      </c>
      <c r="D565" t="s">
        <v>1346</v>
      </c>
      <c r="E565" t="s">
        <v>1347</v>
      </c>
      <c r="F565">
        <v>65</v>
      </c>
      <c r="G565" t="s">
        <v>1995</v>
      </c>
      <c r="H565" t="s">
        <v>1672</v>
      </c>
      <c r="I565" t="s">
        <v>1971</v>
      </c>
    </row>
    <row r="566" spans="2:9" x14ac:dyDescent="0.25">
      <c r="B566" t="s">
        <v>1979</v>
      </c>
      <c r="C566" t="s">
        <v>148</v>
      </c>
      <c r="D566" t="s">
        <v>1346</v>
      </c>
      <c r="E566" t="s">
        <v>1347</v>
      </c>
      <c r="F566">
        <v>135</v>
      </c>
      <c r="G566" t="s">
        <v>1995</v>
      </c>
      <c r="H566" t="s">
        <v>1672</v>
      </c>
      <c r="I566" t="s">
        <v>1971</v>
      </c>
    </row>
    <row r="567" spans="2:9" x14ac:dyDescent="0.25">
      <c r="B567" t="s">
        <v>1979</v>
      </c>
      <c r="C567" t="s">
        <v>148</v>
      </c>
      <c r="D567" t="s">
        <v>544</v>
      </c>
      <c r="E567" t="s">
        <v>545</v>
      </c>
      <c r="F567">
        <v>100</v>
      </c>
      <c r="G567" t="s">
        <v>2043</v>
      </c>
      <c r="H567" t="s">
        <v>1746</v>
      </c>
      <c r="I567" t="s">
        <v>1971</v>
      </c>
    </row>
    <row r="568" spans="2:9" x14ac:dyDescent="0.25">
      <c r="B568" t="s">
        <v>1979</v>
      </c>
      <c r="C568" t="s">
        <v>148</v>
      </c>
      <c r="D568" t="s">
        <v>544</v>
      </c>
      <c r="E568" t="s">
        <v>545</v>
      </c>
      <c r="F568">
        <v>20</v>
      </c>
      <c r="G568" t="s">
        <v>2542</v>
      </c>
      <c r="H568" t="s">
        <v>1627</v>
      </c>
      <c r="I568" t="s">
        <v>1971</v>
      </c>
    </row>
    <row r="569" spans="2:9" x14ac:dyDescent="0.25">
      <c r="B569" t="s">
        <v>1979</v>
      </c>
      <c r="C569" t="s">
        <v>148</v>
      </c>
      <c r="D569" t="s">
        <v>544</v>
      </c>
      <c r="E569" t="s">
        <v>545</v>
      </c>
      <c r="F569">
        <v>80</v>
      </c>
      <c r="G569" t="s">
        <v>2115</v>
      </c>
      <c r="H569" t="s">
        <v>1751</v>
      </c>
      <c r="I569" t="s">
        <v>1971</v>
      </c>
    </row>
    <row r="570" spans="2:9" x14ac:dyDescent="0.25">
      <c r="B570" t="s">
        <v>1979</v>
      </c>
      <c r="C570" t="s">
        <v>148</v>
      </c>
      <c r="D570" t="s">
        <v>544</v>
      </c>
      <c r="E570" t="s">
        <v>545</v>
      </c>
      <c r="F570">
        <v>20</v>
      </c>
      <c r="G570" t="s">
        <v>2115</v>
      </c>
      <c r="H570" t="s">
        <v>1751</v>
      </c>
      <c r="I570" t="s">
        <v>1971</v>
      </c>
    </row>
    <row r="571" spans="2:9" x14ac:dyDescent="0.25">
      <c r="B571" t="s">
        <v>1979</v>
      </c>
      <c r="C571" t="s">
        <v>148</v>
      </c>
      <c r="D571" t="s">
        <v>544</v>
      </c>
      <c r="E571" t="s">
        <v>545</v>
      </c>
      <c r="F571">
        <v>20</v>
      </c>
      <c r="G571" t="s">
        <v>2116</v>
      </c>
      <c r="H571" t="s">
        <v>1751</v>
      </c>
      <c r="I571" t="s">
        <v>1971</v>
      </c>
    </row>
    <row r="572" spans="2:9" x14ac:dyDescent="0.25">
      <c r="B572" t="s">
        <v>1979</v>
      </c>
      <c r="C572" t="s">
        <v>148</v>
      </c>
      <c r="D572" t="s">
        <v>544</v>
      </c>
      <c r="E572" t="s">
        <v>545</v>
      </c>
      <c r="F572">
        <v>180</v>
      </c>
      <c r="G572" t="s">
        <v>2116</v>
      </c>
      <c r="H572" t="s">
        <v>1751</v>
      </c>
      <c r="I572" t="s">
        <v>1971</v>
      </c>
    </row>
    <row r="573" spans="2:9" x14ac:dyDescent="0.25">
      <c r="B573" t="s">
        <v>1979</v>
      </c>
      <c r="C573" t="s">
        <v>148</v>
      </c>
      <c r="D573" t="s">
        <v>544</v>
      </c>
      <c r="E573" t="s">
        <v>545</v>
      </c>
      <c r="F573">
        <v>60</v>
      </c>
      <c r="G573" t="s">
        <v>2046</v>
      </c>
      <c r="H573" t="s">
        <v>1631</v>
      </c>
      <c r="I573" t="s">
        <v>1971</v>
      </c>
    </row>
    <row r="574" spans="2:9" x14ac:dyDescent="0.25">
      <c r="B574" t="s">
        <v>1979</v>
      </c>
      <c r="C574" t="s">
        <v>148</v>
      </c>
      <c r="D574" t="s">
        <v>544</v>
      </c>
      <c r="E574" t="s">
        <v>545</v>
      </c>
      <c r="F574">
        <v>100</v>
      </c>
      <c r="G574" t="s">
        <v>2117</v>
      </c>
      <c r="H574" t="s">
        <v>1779</v>
      </c>
      <c r="I574" t="s">
        <v>1971</v>
      </c>
    </row>
    <row r="575" spans="2:9" x14ac:dyDescent="0.25">
      <c r="B575" t="s">
        <v>1979</v>
      </c>
      <c r="C575" t="s">
        <v>148</v>
      </c>
      <c r="D575" t="s">
        <v>544</v>
      </c>
      <c r="E575" t="s">
        <v>545</v>
      </c>
      <c r="F575">
        <v>180</v>
      </c>
      <c r="G575" t="s">
        <v>2042</v>
      </c>
      <c r="H575" t="s">
        <v>1712</v>
      </c>
      <c r="I575" t="s">
        <v>1971</v>
      </c>
    </row>
    <row r="576" spans="2:9" x14ac:dyDescent="0.25">
      <c r="B576" t="s">
        <v>1979</v>
      </c>
      <c r="C576" t="s">
        <v>585</v>
      </c>
      <c r="D576" t="s">
        <v>594</v>
      </c>
      <c r="E576" t="s">
        <v>595</v>
      </c>
      <c r="F576">
        <v>9</v>
      </c>
      <c r="G576" t="s">
        <v>2040</v>
      </c>
      <c r="H576" t="s">
        <v>1663</v>
      </c>
      <c r="I576" t="s">
        <v>1971</v>
      </c>
    </row>
    <row r="577" spans="2:9" x14ac:dyDescent="0.25">
      <c r="B577" t="s">
        <v>1979</v>
      </c>
      <c r="C577" t="s">
        <v>585</v>
      </c>
      <c r="D577" t="s">
        <v>594</v>
      </c>
      <c r="E577" t="s">
        <v>595</v>
      </c>
      <c r="F577">
        <v>15</v>
      </c>
      <c r="G577" t="s">
        <v>2040</v>
      </c>
      <c r="H577" t="s">
        <v>1663</v>
      </c>
      <c r="I577" t="s">
        <v>1971</v>
      </c>
    </row>
    <row r="578" spans="2:9" x14ac:dyDescent="0.25">
      <c r="B578" t="s">
        <v>1979</v>
      </c>
      <c r="C578" t="s">
        <v>585</v>
      </c>
      <c r="D578" t="s">
        <v>586</v>
      </c>
      <c r="E578" t="s">
        <v>587</v>
      </c>
      <c r="F578">
        <v>20</v>
      </c>
      <c r="G578" t="s">
        <v>2542</v>
      </c>
      <c r="H578" t="s">
        <v>1627</v>
      </c>
      <c r="I578" t="s">
        <v>1971</v>
      </c>
    </row>
    <row r="579" spans="2:9" x14ac:dyDescent="0.25">
      <c r="B579" t="s">
        <v>1979</v>
      </c>
      <c r="C579" t="s">
        <v>585</v>
      </c>
      <c r="D579" t="s">
        <v>586</v>
      </c>
      <c r="E579" t="s">
        <v>587</v>
      </c>
      <c r="F579">
        <v>80</v>
      </c>
      <c r="G579" t="s">
        <v>2118</v>
      </c>
      <c r="H579" t="s">
        <v>1867</v>
      </c>
      <c r="I579" t="s">
        <v>1971</v>
      </c>
    </row>
    <row r="580" spans="2:9" x14ac:dyDescent="0.25">
      <c r="B580" t="s">
        <v>1979</v>
      </c>
      <c r="C580" t="s">
        <v>585</v>
      </c>
      <c r="D580" t="s">
        <v>586</v>
      </c>
      <c r="E580" t="s">
        <v>587</v>
      </c>
      <c r="F580">
        <v>80</v>
      </c>
      <c r="G580" t="s">
        <v>2119</v>
      </c>
      <c r="H580" t="s">
        <v>1867</v>
      </c>
      <c r="I580" t="s">
        <v>1971</v>
      </c>
    </row>
    <row r="581" spans="2:9" x14ac:dyDescent="0.25">
      <c r="B581" t="s">
        <v>1979</v>
      </c>
      <c r="C581" t="s">
        <v>585</v>
      </c>
      <c r="D581" t="s">
        <v>586</v>
      </c>
      <c r="E581" t="s">
        <v>587</v>
      </c>
      <c r="F581">
        <v>260</v>
      </c>
      <c r="G581" t="s">
        <v>2050</v>
      </c>
      <c r="H581" t="s">
        <v>1984</v>
      </c>
      <c r="I581" t="s">
        <v>1971</v>
      </c>
    </row>
    <row r="582" spans="2:9" x14ac:dyDescent="0.25">
      <c r="B582" t="s">
        <v>1979</v>
      </c>
      <c r="C582" t="s">
        <v>585</v>
      </c>
      <c r="D582" t="s">
        <v>586</v>
      </c>
      <c r="E582" t="s">
        <v>587</v>
      </c>
      <c r="F582">
        <v>60</v>
      </c>
      <c r="G582" t="s">
        <v>2552</v>
      </c>
      <c r="H582" t="s">
        <v>1706</v>
      </c>
      <c r="I582" t="s">
        <v>1971</v>
      </c>
    </row>
    <row r="583" spans="2:9" x14ac:dyDescent="0.25">
      <c r="B583" t="s">
        <v>1979</v>
      </c>
      <c r="C583" t="s">
        <v>585</v>
      </c>
      <c r="D583" t="s">
        <v>586</v>
      </c>
      <c r="E583" t="s">
        <v>587</v>
      </c>
      <c r="F583">
        <v>120</v>
      </c>
      <c r="G583" t="s">
        <v>2120</v>
      </c>
      <c r="H583" t="s">
        <v>2110</v>
      </c>
      <c r="I583" t="s">
        <v>1971</v>
      </c>
    </row>
    <row r="584" spans="2:9" x14ac:dyDescent="0.25">
      <c r="B584" t="s">
        <v>1979</v>
      </c>
      <c r="C584" t="s">
        <v>585</v>
      </c>
      <c r="D584" t="s">
        <v>586</v>
      </c>
      <c r="E584" t="s">
        <v>587</v>
      </c>
      <c r="F584">
        <v>60</v>
      </c>
      <c r="G584" t="s">
        <v>2121</v>
      </c>
      <c r="H584" t="s">
        <v>1840</v>
      </c>
      <c r="I584" t="s">
        <v>1971</v>
      </c>
    </row>
    <row r="585" spans="2:9" x14ac:dyDescent="0.25">
      <c r="B585" t="s">
        <v>1979</v>
      </c>
      <c r="C585" t="s">
        <v>585</v>
      </c>
      <c r="D585" t="s">
        <v>586</v>
      </c>
      <c r="E585" t="s">
        <v>587</v>
      </c>
      <c r="F585">
        <v>40</v>
      </c>
      <c r="G585" t="s">
        <v>2122</v>
      </c>
      <c r="H585" t="s">
        <v>1663</v>
      </c>
      <c r="I585" t="s">
        <v>1971</v>
      </c>
    </row>
    <row r="586" spans="2:9" x14ac:dyDescent="0.25">
      <c r="B586" t="s">
        <v>1979</v>
      </c>
      <c r="C586" t="s">
        <v>585</v>
      </c>
      <c r="D586" t="s">
        <v>586</v>
      </c>
      <c r="E586" t="s">
        <v>587</v>
      </c>
      <c r="F586">
        <v>60</v>
      </c>
      <c r="G586" t="s">
        <v>2122</v>
      </c>
      <c r="H586" t="s">
        <v>1663</v>
      </c>
      <c r="I586" t="s">
        <v>1971</v>
      </c>
    </row>
    <row r="587" spans="2:9" x14ac:dyDescent="0.25">
      <c r="B587" t="s">
        <v>1979</v>
      </c>
      <c r="C587" t="s">
        <v>585</v>
      </c>
      <c r="D587" t="s">
        <v>586</v>
      </c>
      <c r="E587" t="s">
        <v>587</v>
      </c>
      <c r="F587">
        <v>120</v>
      </c>
      <c r="G587" t="s">
        <v>2123</v>
      </c>
      <c r="H587" t="s">
        <v>1712</v>
      </c>
      <c r="I587" t="s">
        <v>1971</v>
      </c>
    </row>
    <row r="588" spans="2:9" x14ac:dyDescent="0.25">
      <c r="B588" t="s">
        <v>1979</v>
      </c>
      <c r="C588" t="s">
        <v>49</v>
      </c>
      <c r="D588" t="s">
        <v>1008</v>
      </c>
      <c r="E588" t="s">
        <v>1009</v>
      </c>
      <c r="F588">
        <v>4340</v>
      </c>
      <c r="G588" t="s">
        <v>2083</v>
      </c>
      <c r="H588" t="s">
        <v>1631</v>
      </c>
      <c r="I588" t="s">
        <v>1971</v>
      </c>
    </row>
    <row r="589" spans="2:9" x14ac:dyDescent="0.25">
      <c r="B589" t="s">
        <v>1979</v>
      </c>
      <c r="C589" t="s">
        <v>49</v>
      </c>
      <c r="D589" t="s">
        <v>1008</v>
      </c>
      <c r="E589" t="s">
        <v>1009</v>
      </c>
      <c r="F589">
        <v>2005</v>
      </c>
      <c r="G589" t="s">
        <v>2084</v>
      </c>
      <c r="H589" t="s">
        <v>1631</v>
      </c>
      <c r="I589" t="s">
        <v>1971</v>
      </c>
    </row>
    <row r="590" spans="2:9" x14ac:dyDescent="0.25">
      <c r="B590" t="s">
        <v>1979</v>
      </c>
      <c r="C590" t="s">
        <v>49</v>
      </c>
      <c r="D590" t="s">
        <v>1008</v>
      </c>
      <c r="E590" t="s">
        <v>1009</v>
      </c>
      <c r="F590">
        <v>1295</v>
      </c>
      <c r="G590" t="s">
        <v>2084</v>
      </c>
      <c r="H590" t="s">
        <v>1631</v>
      </c>
      <c r="I590" t="s">
        <v>1971</v>
      </c>
    </row>
    <row r="591" spans="2:9" x14ac:dyDescent="0.25">
      <c r="B591" t="s">
        <v>1979</v>
      </c>
      <c r="C591" t="s">
        <v>80</v>
      </c>
      <c r="D591" t="s">
        <v>572</v>
      </c>
      <c r="E591" t="s">
        <v>573</v>
      </c>
      <c r="F591">
        <v>3</v>
      </c>
      <c r="G591" t="s">
        <v>2542</v>
      </c>
      <c r="H591" t="s">
        <v>1627</v>
      </c>
      <c r="I591" t="s">
        <v>1971</v>
      </c>
    </row>
    <row r="592" spans="2:9" x14ac:dyDescent="0.25">
      <c r="B592" t="s">
        <v>1979</v>
      </c>
      <c r="C592" t="s">
        <v>80</v>
      </c>
      <c r="D592" t="s">
        <v>572</v>
      </c>
      <c r="E592" t="s">
        <v>573</v>
      </c>
      <c r="F592">
        <v>72</v>
      </c>
      <c r="G592" t="s">
        <v>2124</v>
      </c>
      <c r="H592" t="s">
        <v>1775</v>
      </c>
      <c r="I592" t="s">
        <v>1971</v>
      </c>
    </row>
    <row r="593" spans="2:9" x14ac:dyDescent="0.25">
      <c r="B593" t="s">
        <v>1979</v>
      </c>
      <c r="C593" t="s">
        <v>80</v>
      </c>
      <c r="D593" t="s">
        <v>572</v>
      </c>
      <c r="E593" t="s">
        <v>573</v>
      </c>
      <c r="F593">
        <v>80</v>
      </c>
      <c r="G593" t="s">
        <v>2125</v>
      </c>
      <c r="H593" t="s">
        <v>1742</v>
      </c>
      <c r="I593" t="s">
        <v>1971</v>
      </c>
    </row>
    <row r="594" spans="2:9" x14ac:dyDescent="0.25">
      <c r="B594" t="s">
        <v>1979</v>
      </c>
      <c r="C594" t="s">
        <v>80</v>
      </c>
      <c r="D594" t="s">
        <v>572</v>
      </c>
      <c r="E594" t="s">
        <v>573</v>
      </c>
      <c r="F594">
        <v>60</v>
      </c>
      <c r="G594" t="s">
        <v>2146</v>
      </c>
      <c r="H594" t="s">
        <v>1640</v>
      </c>
      <c r="I594" t="s">
        <v>1971</v>
      </c>
    </row>
    <row r="595" spans="2:9" x14ac:dyDescent="0.25">
      <c r="B595" t="s">
        <v>1979</v>
      </c>
      <c r="C595" t="s">
        <v>80</v>
      </c>
      <c r="D595" t="s">
        <v>572</v>
      </c>
      <c r="E595" t="s">
        <v>573</v>
      </c>
      <c r="F595">
        <v>48</v>
      </c>
      <c r="G595" t="s">
        <v>2139</v>
      </c>
      <c r="H595" t="s">
        <v>1658</v>
      </c>
      <c r="I595" t="s">
        <v>1971</v>
      </c>
    </row>
    <row r="596" spans="2:9" x14ac:dyDescent="0.25">
      <c r="B596" t="s">
        <v>1979</v>
      </c>
      <c r="C596" t="s">
        <v>80</v>
      </c>
      <c r="D596" t="s">
        <v>572</v>
      </c>
      <c r="E596" t="s">
        <v>573</v>
      </c>
      <c r="F596">
        <v>48</v>
      </c>
      <c r="G596" t="s">
        <v>2140</v>
      </c>
      <c r="H596" t="s">
        <v>1736</v>
      </c>
      <c r="I596" t="s">
        <v>1971</v>
      </c>
    </row>
    <row r="597" spans="2:9" x14ac:dyDescent="0.25">
      <c r="B597" t="s">
        <v>1979</v>
      </c>
      <c r="C597" t="s">
        <v>80</v>
      </c>
      <c r="D597" t="s">
        <v>572</v>
      </c>
      <c r="E597" t="s">
        <v>573</v>
      </c>
      <c r="F597">
        <v>1</v>
      </c>
      <c r="G597" t="s">
        <v>2545</v>
      </c>
      <c r="H597" t="s">
        <v>1624</v>
      </c>
      <c r="I597" t="s">
        <v>1971</v>
      </c>
    </row>
    <row r="598" spans="2:9" x14ac:dyDescent="0.25">
      <c r="B598" t="s">
        <v>1979</v>
      </c>
      <c r="C598" t="s">
        <v>461</v>
      </c>
      <c r="D598" t="s">
        <v>462</v>
      </c>
      <c r="E598" t="s">
        <v>463</v>
      </c>
      <c r="F598">
        <v>1</v>
      </c>
      <c r="G598" t="s">
        <v>2543</v>
      </c>
      <c r="H598" t="s">
        <v>1634</v>
      </c>
      <c r="I598" t="s">
        <v>1971</v>
      </c>
    </row>
    <row r="599" spans="2:9" x14ac:dyDescent="0.25">
      <c r="B599" t="s">
        <v>1979</v>
      </c>
      <c r="C599" t="s">
        <v>120</v>
      </c>
      <c r="D599" t="s">
        <v>1561</v>
      </c>
      <c r="E599" t="s">
        <v>1562</v>
      </c>
      <c r="F599">
        <v>60</v>
      </c>
      <c r="G599" t="s">
        <v>2035</v>
      </c>
      <c r="H599" t="s">
        <v>1712</v>
      </c>
      <c r="I599" t="s">
        <v>1971</v>
      </c>
    </row>
    <row r="600" spans="2:9" x14ac:dyDescent="0.25">
      <c r="B600" t="s">
        <v>1979</v>
      </c>
      <c r="C600" t="s">
        <v>114</v>
      </c>
      <c r="D600" t="s">
        <v>115</v>
      </c>
      <c r="E600" t="s">
        <v>116</v>
      </c>
      <c r="F600">
        <v>120</v>
      </c>
      <c r="G600" t="s">
        <v>2555</v>
      </c>
      <c r="H600" t="s">
        <v>1756</v>
      </c>
      <c r="I600" t="s">
        <v>1971</v>
      </c>
    </row>
    <row r="601" spans="2:9" x14ac:dyDescent="0.25">
      <c r="B601" t="s">
        <v>1979</v>
      </c>
      <c r="C601" t="s">
        <v>164</v>
      </c>
      <c r="D601" t="s">
        <v>165</v>
      </c>
      <c r="E601" t="s">
        <v>166</v>
      </c>
      <c r="F601">
        <v>10</v>
      </c>
      <c r="G601" t="s">
        <v>2087</v>
      </c>
      <c r="H601" t="s">
        <v>1736</v>
      </c>
      <c r="I601" t="s">
        <v>1971</v>
      </c>
    </row>
    <row r="602" spans="2:9" x14ac:dyDescent="0.25">
      <c r="B602" t="s">
        <v>1979</v>
      </c>
      <c r="C602" t="s">
        <v>164</v>
      </c>
      <c r="D602" t="s">
        <v>167</v>
      </c>
      <c r="E602" t="s">
        <v>168</v>
      </c>
      <c r="F602">
        <v>14</v>
      </c>
      <c r="G602" t="s">
        <v>2556</v>
      </c>
      <c r="H602" t="s">
        <v>1706</v>
      </c>
      <c r="I602" t="s">
        <v>1971</v>
      </c>
    </row>
    <row r="603" spans="2:9" x14ac:dyDescent="0.25">
      <c r="B603" t="s">
        <v>1979</v>
      </c>
      <c r="C603" t="s">
        <v>164</v>
      </c>
      <c r="D603" t="s">
        <v>167</v>
      </c>
      <c r="E603" t="s">
        <v>168</v>
      </c>
      <c r="F603">
        <v>4</v>
      </c>
      <c r="G603" t="s">
        <v>2089</v>
      </c>
      <c r="H603" t="s">
        <v>1742</v>
      </c>
      <c r="I603" t="s">
        <v>1971</v>
      </c>
    </row>
    <row r="604" spans="2:9" x14ac:dyDescent="0.25">
      <c r="B604" t="s">
        <v>1979</v>
      </c>
      <c r="C604" t="s">
        <v>164</v>
      </c>
      <c r="D604" t="s">
        <v>167</v>
      </c>
      <c r="E604" t="s">
        <v>168</v>
      </c>
      <c r="F604">
        <v>10</v>
      </c>
      <c r="G604" t="s">
        <v>2090</v>
      </c>
      <c r="H604" t="s">
        <v>1658</v>
      </c>
      <c r="I604" t="s">
        <v>1971</v>
      </c>
    </row>
    <row r="605" spans="2:9" x14ac:dyDescent="0.25">
      <c r="B605" t="s">
        <v>1979</v>
      </c>
      <c r="C605" t="s">
        <v>164</v>
      </c>
      <c r="D605" t="s">
        <v>167</v>
      </c>
      <c r="E605" t="s">
        <v>168</v>
      </c>
      <c r="F605">
        <v>5</v>
      </c>
      <c r="G605" t="s">
        <v>2088</v>
      </c>
      <c r="H605" t="s">
        <v>1806</v>
      </c>
      <c r="I605" t="s">
        <v>1971</v>
      </c>
    </row>
    <row r="606" spans="2:9" x14ac:dyDescent="0.25">
      <c r="B606" t="s">
        <v>1979</v>
      </c>
      <c r="C606" t="s">
        <v>164</v>
      </c>
      <c r="D606" t="s">
        <v>167</v>
      </c>
      <c r="E606" t="s">
        <v>168</v>
      </c>
      <c r="F606">
        <v>19</v>
      </c>
      <c r="G606" t="s">
        <v>2088</v>
      </c>
      <c r="H606" t="s">
        <v>1806</v>
      </c>
      <c r="I606" t="s">
        <v>1971</v>
      </c>
    </row>
    <row r="607" spans="2:9" x14ac:dyDescent="0.25">
      <c r="B607" t="s">
        <v>1979</v>
      </c>
      <c r="C607" t="s">
        <v>164</v>
      </c>
      <c r="D607" t="s">
        <v>169</v>
      </c>
      <c r="E607" t="s">
        <v>170</v>
      </c>
      <c r="F607">
        <v>5</v>
      </c>
      <c r="G607" t="s">
        <v>2087</v>
      </c>
      <c r="H607" t="s">
        <v>1736</v>
      </c>
      <c r="I607" t="s">
        <v>1971</v>
      </c>
    </row>
    <row r="608" spans="2:9" x14ac:dyDescent="0.25">
      <c r="B608" t="s">
        <v>1979</v>
      </c>
      <c r="C608" t="s">
        <v>164</v>
      </c>
      <c r="D608" t="s">
        <v>169</v>
      </c>
      <c r="E608" t="s">
        <v>170</v>
      </c>
      <c r="F608">
        <v>20</v>
      </c>
      <c r="G608" t="s">
        <v>2088</v>
      </c>
      <c r="H608" t="s">
        <v>1806</v>
      </c>
      <c r="I608" t="s">
        <v>1971</v>
      </c>
    </row>
    <row r="609" spans="2:9" x14ac:dyDescent="0.25">
      <c r="B609" t="s">
        <v>1979</v>
      </c>
      <c r="C609" t="s">
        <v>418</v>
      </c>
      <c r="D609" t="s">
        <v>423</v>
      </c>
      <c r="E609" t="s">
        <v>424</v>
      </c>
      <c r="F609">
        <v>120</v>
      </c>
      <c r="G609" t="s">
        <v>2555</v>
      </c>
      <c r="H609" t="s">
        <v>1756</v>
      </c>
      <c r="I609" t="s">
        <v>1971</v>
      </c>
    </row>
    <row r="610" spans="2:9" x14ac:dyDescent="0.25">
      <c r="B610" t="s">
        <v>1979</v>
      </c>
      <c r="C610" t="s">
        <v>164</v>
      </c>
      <c r="D610" t="s">
        <v>400</v>
      </c>
      <c r="E610" t="s">
        <v>401</v>
      </c>
      <c r="F610">
        <v>10</v>
      </c>
      <c r="G610" t="s">
        <v>2087</v>
      </c>
      <c r="H610" t="s">
        <v>1736</v>
      </c>
      <c r="I610" t="s">
        <v>1971</v>
      </c>
    </row>
    <row r="611" spans="2:9" x14ac:dyDescent="0.25">
      <c r="B611" t="s">
        <v>1979</v>
      </c>
      <c r="C611" t="s">
        <v>164</v>
      </c>
      <c r="D611" t="s">
        <v>400</v>
      </c>
      <c r="E611" t="s">
        <v>401</v>
      </c>
      <c r="F611">
        <v>7</v>
      </c>
      <c r="G611" t="s">
        <v>2088</v>
      </c>
      <c r="H611" t="s">
        <v>1806</v>
      </c>
      <c r="I611" t="s">
        <v>1971</v>
      </c>
    </row>
    <row r="612" spans="2:9" x14ac:dyDescent="0.25">
      <c r="B612" t="s">
        <v>1979</v>
      </c>
      <c r="C612" t="s">
        <v>164</v>
      </c>
      <c r="D612" t="s">
        <v>402</v>
      </c>
      <c r="E612" t="s">
        <v>403</v>
      </c>
      <c r="F612">
        <v>5</v>
      </c>
      <c r="G612" t="s">
        <v>2555</v>
      </c>
      <c r="H612" t="s">
        <v>1756</v>
      </c>
      <c r="I612" t="s">
        <v>1971</v>
      </c>
    </row>
    <row r="613" spans="2:9" x14ac:dyDescent="0.25">
      <c r="B613" t="s">
        <v>1979</v>
      </c>
      <c r="C613" t="s">
        <v>164</v>
      </c>
      <c r="D613" t="s">
        <v>402</v>
      </c>
      <c r="E613" t="s">
        <v>403</v>
      </c>
      <c r="F613">
        <v>10</v>
      </c>
      <c r="G613" t="s">
        <v>2556</v>
      </c>
      <c r="H613" t="s">
        <v>1706</v>
      </c>
      <c r="I613" t="s">
        <v>1971</v>
      </c>
    </row>
    <row r="614" spans="2:9" x14ac:dyDescent="0.25">
      <c r="B614" t="s">
        <v>1979</v>
      </c>
      <c r="C614" t="s">
        <v>164</v>
      </c>
      <c r="D614" t="s">
        <v>443</v>
      </c>
      <c r="E614" t="s">
        <v>444</v>
      </c>
      <c r="F614">
        <v>10</v>
      </c>
      <c r="G614" t="s">
        <v>2555</v>
      </c>
      <c r="H614" t="s">
        <v>1756</v>
      </c>
      <c r="I614" t="s">
        <v>1971</v>
      </c>
    </row>
    <row r="615" spans="2:9" x14ac:dyDescent="0.25">
      <c r="B615" t="s">
        <v>1979</v>
      </c>
      <c r="C615" t="s">
        <v>164</v>
      </c>
      <c r="D615" t="s">
        <v>443</v>
      </c>
      <c r="E615" t="s">
        <v>444</v>
      </c>
      <c r="F615">
        <v>15</v>
      </c>
      <c r="G615" t="s">
        <v>2556</v>
      </c>
      <c r="H615" t="s">
        <v>1706</v>
      </c>
      <c r="I615" t="s">
        <v>1971</v>
      </c>
    </row>
    <row r="616" spans="2:9" x14ac:dyDescent="0.25">
      <c r="B616" t="s">
        <v>1979</v>
      </c>
      <c r="C616" t="s">
        <v>164</v>
      </c>
      <c r="D616" t="s">
        <v>443</v>
      </c>
      <c r="E616" t="s">
        <v>444</v>
      </c>
      <c r="F616">
        <v>4</v>
      </c>
      <c r="G616" t="s">
        <v>2089</v>
      </c>
      <c r="H616" t="s">
        <v>1742</v>
      </c>
      <c r="I616" t="s">
        <v>1971</v>
      </c>
    </row>
    <row r="617" spans="2:9" x14ac:dyDescent="0.25">
      <c r="B617" t="s">
        <v>1979</v>
      </c>
      <c r="C617" t="s">
        <v>164</v>
      </c>
      <c r="D617" t="s">
        <v>443</v>
      </c>
      <c r="E617" t="s">
        <v>444</v>
      </c>
      <c r="F617">
        <v>2</v>
      </c>
      <c r="G617" t="s">
        <v>2557</v>
      </c>
      <c r="H617" t="s">
        <v>1742</v>
      </c>
      <c r="I617" t="s">
        <v>1971</v>
      </c>
    </row>
    <row r="618" spans="2:9" x14ac:dyDescent="0.25">
      <c r="B618" t="s">
        <v>1979</v>
      </c>
      <c r="C618" t="s">
        <v>164</v>
      </c>
      <c r="D618" t="s">
        <v>443</v>
      </c>
      <c r="E618" t="s">
        <v>444</v>
      </c>
      <c r="F618">
        <v>10</v>
      </c>
      <c r="G618" t="s">
        <v>2090</v>
      </c>
      <c r="H618" t="s">
        <v>1658</v>
      </c>
      <c r="I618" t="s">
        <v>1971</v>
      </c>
    </row>
    <row r="619" spans="2:9" x14ac:dyDescent="0.25">
      <c r="B619" t="s">
        <v>1979</v>
      </c>
      <c r="C619" t="s">
        <v>164</v>
      </c>
      <c r="D619" t="s">
        <v>443</v>
      </c>
      <c r="E619" t="s">
        <v>444</v>
      </c>
      <c r="F619">
        <v>9</v>
      </c>
      <c r="G619" t="s">
        <v>2091</v>
      </c>
      <c r="H619" t="s">
        <v>1779</v>
      </c>
      <c r="I619" t="s">
        <v>1971</v>
      </c>
    </row>
    <row r="620" spans="2:9" x14ac:dyDescent="0.25">
      <c r="B620" t="s">
        <v>1979</v>
      </c>
      <c r="C620" t="s">
        <v>164</v>
      </c>
      <c r="D620" t="s">
        <v>443</v>
      </c>
      <c r="E620" t="s">
        <v>444</v>
      </c>
      <c r="F620">
        <v>1</v>
      </c>
      <c r="G620" t="s">
        <v>2091</v>
      </c>
      <c r="H620" t="s">
        <v>1779</v>
      </c>
      <c r="I620" t="s">
        <v>1971</v>
      </c>
    </row>
    <row r="621" spans="2:9" x14ac:dyDescent="0.25">
      <c r="B621" t="s">
        <v>1979</v>
      </c>
      <c r="C621" t="s">
        <v>25</v>
      </c>
      <c r="D621" t="s">
        <v>470</v>
      </c>
      <c r="E621" t="s">
        <v>471</v>
      </c>
      <c r="F621">
        <v>12</v>
      </c>
      <c r="G621" t="s">
        <v>2558</v>
      </c>
      <c r="H621" t="s">
        <v>1756</v>
      </c>
      <c r="I621" t="s">
        <v>1971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8"/>
  <sheetViews>
    <sheetView workbookViewId="0">
      <selection activeCell="J5" sqref="J5"/>
    </sheetView>
  </sheetViews>
  <sheetFormatPr defaultRowHeight="15" x14ac:dyDescent="0.25"/>
  <cols>
    <col min="2" max="2" width="7.42578125" bestFit="1" customWidth="1"/>
    <col min="3" max="3" width="16.28515625" bestFit="1" customWidth="1"/>
    <col min="4" max="4" width="12.85546875" bestFit="1" customWidth="1"/>
    <col min="5" max="5" width="30.140625" bestFit="1" customWidth="1"/>
    <col min="6" max="6" width="10.5703125" bestFit="1" customWidth="1"/>
    <col min="7" max="7" width="10" bestFit="1" customWidth="1"/>
    <col min="8" max="8" width="11.42578125" bestFit="1" customWidth="1"/>
    <col min="9" max="9" width="5.7109375" bestFit="1" customWidth="1"/>
    <col min="10" max="10" width="17.85546875" bestFit="1" customWidth="1"/>
  </cols>
  <sheetData>
    <row r="2" spans="2:10" x14ac:dyDescent="0.25">
      <c r="B2" t="s">
        <v>1974</v>
      </c>
      <c r="C2" t="s">
        <v>4</v>
      </c>
      <c r="D2" t="s">
        <v>5</v>
      </c>
      <c r="E2" t="s">
        <v>6</v>
      </c>
      <c r="F2" t="s">
        <v>1975</v>
      </c>
      <c r="G2" t="s">
        <v>1976</v>
      </c>
      <c r="H2" t="s">
        <v>1977</v>
      </c>
      <c r="I2" t="s">
        <v>1978</v>
      </c>
      <c r="J2" t="s">
        <v>2230</v>
      </c>
    </row>
    <row r="3" spans="2:10" x14ac:dyDescent="0.25">
      <c r="B3" t="s">
        <v>1979</v>
      </c>
      <c r="C3" t="s">
        <v>8</v>
      </c>
      <c r="D3" t="s">
        <v>1078</v>
      </c>
      <c r="E3" t="s">
        <v>1079</v>
      </c>
      <c r="F3">
        <v>10000</v>
      </c>
      <c r="G3" t="s">
        <v>2231</v>
      </c>
      <c r="H3" t="s">
        <v>1786</v>
      </c>
      <c r="I3" t="s">
        <v>2232</v>
      </c>
      <c r="J3" t="s">
        <v>2233</v>
      </c>
    </row>
    <row r="4" spans="2:10" x14ac:dyDescent="0.25">
      <c r="B4" t="s">
        <v>1979</v>
      </c>
      <c r="C4" t="s">
        <v>8</v>
      </c>
      <c r="D4" t="s">
        <v>1078</v>
      </c>
      <c r="E4" t="s">
        <v>1079</v>
      </c>
      <c r="F4">
        <v>8480</v>
      </c>
      <c r="G4" t="s">
        <v>2231</v>
      </c>
      <c r="H4" t="s">
        <v>1786</v>
      </c>
      <c r="I4" t="s">
        <v>2232</v>
      </c>
      <c r="J4" t="s">
        <v>2233</v>
      </c>
    </row>
    <row r="5" spans="2:10" x14ac:dyDescent="0.25">
      <c r="B5" t="s">
        <v>1979</v>
      </c>
      <c r="C5" t="s">
        <v>8</v>
      </c>
      <c r="D5" t="s">
        <v>1078</v>
      </c>
      <c r="E5" t="s">
        <v>1079</v>
      </c>
      <c r="F5">
        <v>1320</v>
      </c>
      <c r="G5" t="s">
        <v>2234</v>
      </c>
      <c r="H5" t="s">
        <v>1786</v>
      </c>
      <c r="I5" t="s">
        <v>2232</v>
      </c>
      <c r="J5" t="s">
        <v>2233</v>
      </c>
    </row>
    <row r="6" spans="2:10" x14ac:dyDescent="0.25">
      <c r="B6" t="s">
        <v>1979</v>
      </c>
      <c r="C6" t="s">
        <v>8</v>
      </c>
      <c r="D6" t="s">
        <v>1078</v>
      </c>
      <c r="E6" t="s">
        <v>1079</v>
      </c>
      <c r="F6">
        <v>10000</v>
      </c>
      <c r="G6" t="s">
        <v>2234</v>
      </c>
      <c r="H6" t="s">
        <v>1786</v>
      </c>
      <c r="I6" t="s">
        <v>2232</v>
      </c>
      <c r="J6" t="s">
        <v>2233</v>
      </c>
    </row>
    <row r="7" spans="2:10" x14ac:dyDescent="0.25">
      <c r="B7" t="s">
        <v>1979</v>
      </c>
      <c r="C7" t="s">
        <v>8</v>
      </c>
      <c r="D7" t="s">
        <v>1078</v>
      </c>
      <c r="E7" t="s">
        <v>1079</v>
      </c>
      <c r="F7">
        <v>7160</v>
      </c>
      <c r="G7" t="s">
        <v>2234</v>
      </c>
      <c r="H7" t="s">
        <v>1786</v>
      </c>
      <c r="I7" t="s">
        <v>2232</v>
      </c>
      <c r="J7" t="s">
        <v>2233</v>
      </c>
    </row>
    <row r="8" spans="2:10" x14ac:dyDescent="0.25">
      <c r="B8" t="s">
        <v>1979</v>
      </c>
      <c r="C8" t="s">
        <v>8</v>
      </c>
      <c r="D8" t="s">
        <v>1078</v>
      </c>
      <c r="E8" t="s">
        <v>1079</v>
      </c>
      <c r="F8">
        <v>8480</v>
      </c>
      <c r="G8" t="s">
        <v>2235</v>
      </c>
      <c r="H8" t="s">
        <v>1616</v>
      </c>
      <c r="I8" t="s">
        <v>2232</v>
      </c>
      <c r="J8" t="s">
        <v>2233</v>
      </c>
    </row>
    <row r="9" spans="2:10" x14ac:dyDescent="0.25">
      <c r="B9" t="s">
        <v>1979</v>
      </c>
      <c r="C9" t="s">
        <v>8</v>
      </c>
      <c r="D9" t="s">
        <v>1078</v>
      </c>
      <c r="E9" t="s">
        <v>1079</v>
      </c>
      <c r="F9">
        <v>1760</v>
      </c>
      <c r="G9" t="s">
        <v>2240</v>
      </c>
      <c r="H9" t="s">
        <v>1619</v>
      </c>
      <c r="I9" t="s">
        <v>2232</v>
      </c>
      <c r="J9" t="s">
        <v>2233</v>
      </c>
    </row>
    <row r="10" spans="2:10" x14ac:dyDescent="0.25">
      <c r="B10" t="s">
        <v>1979</v>
      </c>
      <c r="C10" t="s">
        <v>8</v>
      </c>
      <c r="D10" t="s">
        <v>1078</v>
      </c>
      <c r="E10" t="s">
        <v>1079</v>
      </c>
      <c r="F10">
        <v>5400</v>
      </c>
      <c r="G10" t="s">
        <v>2236</v>
      </c>
      <c r="H10" t="s">
        <v>1651</v>
      </c>
      <c r="I10" t="s">
        <v>2232</v>
      </c>
      <c r="J10" t="s">
        <v>2233</v>
      </c>
    </row>
    <row r="11" spans="2:10" x14ac:dyDescent="0.25">
      <c r="B11" t="s">
        <v>1979</v>
      </c>
      <c r="C11" t="s">
        <v>8</v>
      </c>
      <c r="D11" t="s">
        <v>1078</v>
      </c>
      <c r="E11" t="s">
        <v>1079</v>
      </c>
      <c r="F11">
        <v>10000</v>
      </c>
      <c r="G11" t="s">
        <v>2235</v>
      </c>
      <c r="H11" t="s">
        <v>1616</v>
      </c>
      <c r="I11" t="s">
        <v>2232</v>
      </c>
      <c r="J11" t="s">
        <v>2233</v>
      </c>
    </row>
    <row r="12" spans="2:10" x14ac:dyDescent="0.25">
      <c r="B12" t="s">
        <v>1979</v>
      </c>
      <c r="C12" t="s">
        <v>8</v>
      </c>
      <c r="D12" t="s">
        <v>1078</v>
      </c>
      <c r="E12" t="s">
        <v>1079</v>
      </c>
      <c r="F12">
        <v>2840</v>
      </c>
      <c r="G12" t="s">
        <v>2239</v>
      </c>
      <c r="H12" t="s">
        <v>1616</v>
      </c>
      <c r="I12" t="s">
        <v>2232</v>
      </c>
      <c r="J12" t="s">
        <v>2233</v>
      </c>
    </row>
    <row r="13" spans="2:10" x14ac:dyDescent="0.25">
      <c r="B13" t="s">
        <v>1979</v>
      </c>
      <c r="C13" t="s">
        <v>8</v>
      </c>
      <c r="D13" t="s">
        <v>1078</v>
      </c>
      <c r="E13" t="s">
        <v>1079</v>
      </c>
      <c r="F13">
        <v>1520</v>
      </c>
      <c r="G13" t="s">
        <v>2239</v>
      </c>
      <c r="H13" t="s">
        <v>1616</v>
      </c>
      <c r="I13" t="s">
        <v>2232</v>
      </c>
      <c r="J13" t="s">
        <v>2233</v>
      </c>
    </row>
    <row r="14" spans="2:10" x14ac:dyDescent="0.25">
      <c r="B14" t="s">
        <v>1979</v>
      </c>
      <c r="C14" t="s">
        <v>8</v>
      </c>
      <c r="D14" t="s">
        <v>1078</v>
      </c>
      <c r="E14" t="s">
        <v>1079</v>
      </c>
      <c r="F14">
        <v>10000</v>
      </c>
      <c r="G14" t="s">
        <v>2239</v>
      </c>
      <c r="H14" t="s">
        <v>1616</v>
      </c>
      <c r="I14" t="s">
        <v>2232</v>
      </c>
      <c r="J14" t="s">
        <v>2233</v>
      </c>
    </row>
    <row r="15" spans="2:10" x14ac:dyDescent="0.25">
      <c r="B15" t="s">
        <v>1979</v>
      </c>
      <c r="C15" t="s">
        <v>8</v>
      </c>
      <c r="D15" t="s">
        <v>1078</v>
      </c>
      <c r="E15" t="s">
        <v>1079</v>
      </c>
      <c r="F15">
        <v>4120</v>
      </c>
      <c r="G15" t="s">
        <v>2239</v>
      </c>
      <c r="H15" t="s">
        <v>1616</v>
      </c>
      <c r="I15" t="s">
        <v>2232</v>
      </c>
      <c r="J15" t="s">
        <v>2233</v>
      </c>
    </row>
    <row r="16" spans="2:10" x14ac:dyDescent="0.25">
      <c r="B16" t="s">
        <v>1979</v>
      </c>
      <c r="C16" t="s">
        <v>8</v>
      </c>
      <c r="D16" t="s">
        <v>1078</v>
      </c>
      <c r="E16" t="s">
        <v>1079</v>
      </c>
      <c r="F16">
        <v>7440</v>
      </c>
      <c r="G16" t="s">
        <v>2236</v>
      </c>
      <c r="H16" t="s">
        <v>1651</v>
      </c>
      <c r="I16" t="s">
        <v>2232</v>
      </c>
      <c r="J16" t="s">
        <v>2233</v>
      </c>
    </row>
    <row r="17" spans="2:10" x14ac:dyDescent="0.25">
      <c r="B17" t="s">
        <v>1979</v>
      </c>
      <c r="C17" t="s">
        <v>8</v>
      </c>
      <c r="D17" t="s">
        <v>1078</v>
      </c>
      <c r="E17" t="s">
        <v>1079</v>
      </c>
      <c r="F17">
        <v>10000</v>
      </c>
      <c r="G17" t="s">
        <v>2240</v>
      </c>
      <c r="H17" t="s">
        <v>1619</v>
      </c>
      <c r="I17" t="s">
        <v>2232</v>
      </c>
      <c r="J17" t="s">
        <v>2233</v>
      </c>
    </row>
    <row r="18" spans="2:10" x14ac:dyDescent="0.25">
      <c r="B18" t="s">
        <v>1979</v>
      </c>
      <c r="C18" t="s">
        <v>8</v>
      </c>
      <c r="D18" t="s">
        <v>1078</v>
      </c>
      <c r="E18" t="s">
        <v>1079</v>
      </c>
      <c r="F18">
        <v>10000</v>
      </c>
      <c r="G18" t="s">
        <v>2241</v>
      </c>
      <c r="H18" t="s">
        <v>1651</v>
      </c>
      <c r="I18" t="s">
        <v>2232</v>
      </c>
      <c r="J18" t="s">
        <v>2233</v>
      </c>
    </row>
    <row r="19" spans="2:10" x14ac:dyDescent="0.25">
      <c r="B19" t="s">
        <v>1979</v>
      </c>
      <c r="C19" t="s">
        <v>8</v>
      </c>
      <c r="D19" t="s">
        <v>1078</v>
      </c>
      <c r="E19" t="s">
        <v>1079</v>
      </c>
      <c r="F19">
        <v>8480</v>
      </c>
      <c r="G19" t="s">
        <v>2241</v>
      </c>
      <c r="H19" t="s">
        <v>1651</v>
      </c>
      <c r="I19" t="s">
        <v>2232</v>
      </c>
      <c r="J19" t="s">
        <v>2233</v>
      </c>
    </row>
    <row r="20" spans="2:10" x14ac:dyDescent="0.25">
      <c r="B20" t="s">
        <v>1979</v>
      </c>
      <c r="C20" t="s">
        <v>8</v>
      </c>
      <c r="D20" t="s">
        <v>1078</v>
      </c>
      <c r="E20" t="s">
        <v>1079</v>
      </c>
      <c r="F20">
        <v>4120</v>
      </c>
      <c r="G20" t="s">
        <v>2236</v>
      </c>
      <c r="H20" t="s">
        <v>1651</v>
      </c>
      <c r="I20" t="s">
        <v>2232</v>
      </c>
      <c r="J20" t="s">
        <v>2233</v>
      </c>
    </row>
    <row r="21" spans="2:10" x14ac:dyDescent="0.25">
      <c r="B21" t="s">
        <v>1979</v>
      </c>
      <c r="C21" t="s">
        <v>8</v>
      </c>
      <c r="D21" t="s">
        <v>1078</v>
      </c>
      <c r="E21" t="s">
        <v>1079</v>
      </c>
      <c r="F21">
        <v>1520</v>
      </c>
      <c r="G21" t="s">
        <v>2236</v>
      </c>
      <c r="H21" t="s">
        <v>1651</v>
      </c>
      <c r="I21" t="s">
        <v>2232</v>
      </c>
      <c r="J21" t="s">
        <v>2233</v>
      </c>
    </row>
    <row r="22" spans="2:10" x14ac:dyDescent="0.25">
      <c r="B22" t="s">
        <v>1979</v>
      </c>
      <c r="C22" t="s">
        <v>17</v>
      </c>
      <c r="D22" t="s">
        <v>304</v>
      </c>
      <c r="E22" t="s">
        <v>305</v>
      </c>
      <c r="F22">
        <v>3220</v>
      </c>
      <c r="G22" t="s">
        <v>2237</v>
      </c>
      <c r="H22" t="s">
        <v>1826</v>
      </c>
      <c r="I22" t="s">
        <v>2232</v>
      </c>
      <c r="J22" t="s">
        <v>2233</v>
      </c>
    </row>
    <row r="23" spans="2:10" x14ac:dyDescent="0.25">
      <c r="B23" t="s">
        <v>1979</v>
      </c>
      <c r="C23" t="s">
        <v>17</v>
      </c>
      <c r="D23" t="s">
        <v>304</v>
      </c>
      <c r="E23" t="s">
        <v>305</v>
      </c>
      <c r="F23">
        <v>6000</v>
      </c>
      <c r="G23" t="s">
        <v>2237</v>
      </c>
      <c r="H23" t="s">
        <v>1826</v>
      </c>
      <c r="I23" t="s">
        <v>2232</v>
      </c>
      <c r="J23" t="s">
        <v>2233</v>
      </c>
    </row>
    <row r="24" spans="2:10" x14ac:dyDescent="0.25">
      <c r="B24" t="s">
        <v>1979</v>
      </c>
      <c r="C24" t="s">
        <v>17</v>
      </c>
      <c r="D24" t="s">
        <v>304</v>
      </c>
      <c r="E24" t="s">
        <v>305</v>
      </c>
      <c r="F24">
        <v>4580</v>
      </c>
      <c r="G24" t="s">
        <v>2237</v>
      </c>
      <c r="H24" t="s">
        <v>1826</v>
      </c>
      <c r="I24" t="s">
        <v>2232</v>
      </c>
      <c r="J24" t="s">
        <v>2233</v>
      </c>
    </row>
    <row r="25" spans="2:10" x14ac:dyDescent="0.25">
      <c r="B25" t="s">
        <v>1979</v>
      </c>
      <c r="C25" t="s">
        <v>17</v>
      </c>
      <c r="D25" t="s">
        <v>304</v>
      </c>
      <c r="E25" t="s">
        <v>305</v>
      </c>
      <c r="F25">
        <v>6000</v>
      </c>
      <c r="G25" t="s">
        <v>2237</v>
      </c>
      <c r="H25" t="s">
        <v>1826</v>
      </c>
      <c r="I25" t="s">
        <v>2232</v>
      </c>
      <c r="J25" t="s">
        <v>2233</v>
      </c>
    </row>
    <row r="26" spans="2:10" x14ac:dyDescent="0.25">
      <c r="B26" t="s">
        <v>1979</v>
      </c>
      <c r="C26" t="s">
        <v>31</v>
      </c>
      <c r="D26" t="s">
        <v>1082</v>
      </c>
      <c r="E26" t="s">
        <v>1083</v>
      </c>
      <c r="F26">
        <v>5280</v>
      </c>
      <c r="G26" t="s">
        <v>2238</v>
      </c>
      <c r="H26" t="s">
        <v>1619</v>
      </c>
      <c r="I26" t="s">
        <v>2232</v>
      </c>
      <c r="J26" t="s">
        <v>2233</v>
      </c>
    </row>
    <row r="27" spans="2:10" x14ac:dyDescent="0.25">
      <c r="B27" t="s">
        <v>1979</v>
      </c>
      <c r="C27" t="s">
        <v>17</v>
      </c>
      <c r="D27" t="s">
        <v>396</v>
      </c>
      <c r="E27" t="s">
        <v>397</v>
      </c>
      <c r="F27">
        <v>10420</v>
      </c>
      <c r="G27" t="s">
        <v>2242</v>
      </c>
      <c r="H27" t="s">
        <v>1840</v>
      </c>
      <c r="I27" t="s">
        <v>2232</v>
      </c>
      <c r="J27" t="s">
        <v>2243</v>
      </c>
    </row>
    <row r="28" spans="2:10" x14ac:dyDescent="0.25">
      <c r="B28" t="s">
        <v>1979</v>
      </c>
      <c r="C28" t="s">
        <v>17</v>
      </c>
      <c r="D28" t="s">
        <v>396</v>
      </c>
      <c r="E28" t="s">
        <v>397</v>
      </c>
      <c r="F28">
        <v>8940</v>
      </c>
      <c r="G28" t="s">
        <v>2242</v>
      </c>
      <c r="H28" t="s">
        <v>1840</v>
      </c>
      <c r="I28" t="s">
        <v>2232</v>
      </c>
      <c r="J28" t="s">
        <v>2243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33"/>
  <sheetViews>
    <sheetView workbookViewId="0">
      <selection activeCell="B3" sqref="B3:G13"/>
    </sheetView>
  </sheetViews>
  <sheetFormatPr defaultRowHeight="15" x14ac:dyDescent="0.25"/>
  <cols>
    <col min="2" max="2" width="7.42578125" bestFit="1" customWidth="1"/>
    <col min="3" max="3" width="16.7109375" bestFit="1" customWidth="1"/>
    <col min="4" max="4" width="14.5703125" bestFit="1" customWidth="1"/>
    <col min="5" max="5" width="31.7109375" bestFit="1" customWidth="1"/>
    <col min="6" max="6" width="10.5703125" bestFit="1" customWidth="1"/>
    <col min="7" max="7" width="10" bestFit="1" customWidth="1"/>
    <col min="8" max="8" width="11.42578125" bestFit="1" customWidth="1"/>
    <col min="9" max="9" width="5.7109375" bestFit="1" customWidth="1"/>
    <col min="10" max="10" width="15.28515625" bestFit="1" customWidth="1"/>
  </cols>
  <sheetData>
    <row r="2" spans="2:10" x14ac:dyDescent="0.25">
      <c r="B2" t="s">
        <v>1974</v>
      </c>
      <c r="C2" t="s">
        <v>4</v>
      </c>
      <c r="D2" t="s">
        <v>5</v>
      </c>
      <c r="E2" t="s">
        <v>6</v>
      </c>
      <c r="F2" t="s">
        <v>1975</v>
      </c>
      <c r="G2" t="s">
        <v>1976</v>
      </c>
      <c r="H2" t="s">
        <v>1977</v>
      </c>
      <c r="I2" t="s">
        <v>1978</v>
      </c>
      <c r="J2" t="s">
        <v>2230</v>
      </c>
    </row>
    <row r="3" spans="2:10" x14ac:dyDescent="0.25">
      <c r="B3" t="s">
        <v>1979</v>
      </c>
      <c r="C3" t="s">
        <v>61</v>
      </c>
      <c r="D3" t="s">
        <v>231</v>
      </c>
      <c r="E3" t="s">
        <v>232</v>
      </c>
      <c r="F3">
        <v>800</v>
      </c>
      <c r="G3" t="s">
        <v>2245</v>
      </c>
      <c r="H3" t="s">
        <v>1610</v>
      </c>
      <c r="I3" t="s">
        <v>2246</v>
      </c>
      <c r="J3" t="s">
        <v>2247</v>
      </c>
    </row>
    <row r="4" spans="2:10" x14ac:dyDescent="0.25">
      <c r="B4" t="s">
        <v>1979</v>
      </c>
      <c r="C4" t="s">
        <v>61</v>
      </c>
      <c r="D4" t="s">
        <v>231</v>
      </c>
      <c r="E4" t="s">
        <v>232</v>
      </c>
      <c r="F4">
        <v>1500</v>
      </c>
      <c r="G4" t="s">
        <v>2248</v>
      </c>
      <c r="H4" t="s">
        <v>1610</v>
      </c>
      <c r="I4" t="s">
        <v>2246</v>
      </c>
      <c r="J4" t="s">
        <v>2247</v>
      </c>
    </row>
    <row r="5" spans="2:10" x14ac:dyDescent="0.25">
      <c r="B5" t="s">
        <v>1979</v>
      </c>
      <c r="C5" t="s">
        <v>11</v>
      </c>
      <c r="D5" t="s">
        <v>1326</v>
      </c>
      <c r="E5" t="s">
        <v>1327</v>
      </c>
      <c r="F5">
        <v>1000</v>
      </c>
      <c r="G5" t="s">
        <v>2249</v>
      </c>
      <c r="H5" t="s">
        <v>1610</v>
      </c>
      <c r="I5" t="s">
        <v>2246</v>
      </c>
      <c r="J5" t="s">
        <v>2247</v>
      </c>
    </row>
    <row r="6" spans="2:10" x14ac:dyDescent="0.25">
      <c r="B6" t="s">
        <v>1979</v>
      </c>
      <c r="C6" t="s">
        <v>8</v>
      </c>
      <c r="D6" t="s">
        <v>605</v>
      </c>
      <c r="E6" t="s">
        <v>606</v>
      </c>
      <c r="F6">
        <v>2000</v>
      </c>
      <c r="G6" t="s">
        <v>2248</v>
      </c>
      <c r="H6" t="s">
        <v>1610</v>
      </c>
      <c r="I6" t="s">
        <v>2246</v>
      </c>
      <c r="J6" t="s">
        <v>2247</v>
      </c>
    </row>
    <row r="7" spans="2:10" x14ac:dyDescent="0.25">
      <c r="B7" t="s">
        <v>1979</v>
      </c>
      <c r="C7" t="s">
        <v>25</v>
      </c>
      <c r="D7" t="s">
        <v>470</v>
      </c>
      <c r="E7" t="s">
        <v>471</v>
      </c>
      <c r="F7">
        <v>300</v>
      </c>
      <c r="G7" t="s">
        <v>2250</v>
      </c>
      <c r="H7" t="s">
        <v>1646</v>
      </c>
      <c r="I7" t="s">
        <v>2246</v>
      </c>
      <c r="J7" t="s">
        <v>2247</v>
      </c>
    </row>
    <row r="8" spans="2:10" x14ac:dyDescent="0.25">
      <c r="B8" t="s">
        <v>1979</v>
      </c>
      <c r="C8" t="s">
        <v>120</v>
      </c>
      <c r="D8" t="s">
        <v>540</v>
      </c>
      <c r="E8" t="s">
        <v>541</v>
      </c>
      <c r="F8">
        <v>800</v>
      </c>
      <c r="G8" t="s">
        <v>2245</v>
      </c>
      <c r="H8" t="s">
        <v>1610</v>
      </c>
      <c r="I8" t="s">
        <v>2246</v>
      </c>
      <c r="J8" t="s">
        <v>2247</v>
      </c>
    </row>
    <row r="9" spans="2:10" x14ac:dyDescent="0.25">
      <c r="B9" t="s">
        <v>1979</v>
      </c>
      <c r="C9" t="s">
        <v>120</v>
      </c>
      <c r="D9" t="s">
        <v>540</v>
      </c>
      <c r="E9" t="s">
        <v>541</v>
      </c>
      <c r="F9">
        <v>2500</v>
      </c>
      <c r="G9" t="s">
        <v>2248</v>
      </c>
      <c r="H9" t="s">
        <v>1610</v>
      </c>
      <c r="I9" t="s">
        <v>2246</v>
      </c>
      <c r="J9" t="s">
        <v>2247</v>
      </c>
    </row>
    <row r="10" spans="2:10" x14ac:dyDescent="0.25">
      <c r="B10" t="s">
        <v>1979</v>
      </c>
      <c r="C10" t="s">
        <v>120</v>
      </c>
      <c r="D10" t="s">
        <v>540</v>
      </c>
      <c r="E10" t="s">
        <v>541</v>
      </c>
      <c r="F10">
        <v>120</v>
      </c>
      <c r="G10" t="s">
        <v>2251</v>
      </c>
      <c r="H10" t="s">
        <v>1773</v>
      </c>
      <c r="I10" t="s">
        <v>2246</v>
      </c>
      <c r="J10" t="s">
        <v>2247</v>
      </c>
    </row>
    <row r="11" spans="2:10" x14ac:dyDescent="0.25">
      <c r="B11" t="s">
        <v>1979</v>
      </c>
      <c r="C11" t="s">
        <v>715</v>
      </c>
      <c r="D11" t="s">
        <v>716</v>
      </c>
      <c r="E11" t="s">
        <v>717</v>
      </c>
      <c r="F11">
        <v>840</v>
      </c>
      <c r="G11" t="s">
        <v>2252</v>
      </c>
      <c r="H11" t="s">
        <v>1610</v>
      </c>
      <c r="I11" t="s">
        <v>2246</v>
      </c>
      <c r="J11" t="s">
        <v>2247</v>
      </c>
    </row>
    <row r="12" spans="2:10" x14ac:dyDescent="0.25">
      <c r="B12" t="s">
        <v>1979</v>
      </c>
      <c r="C12" t="s">
        <v>715</v>
      </c>
      <c r="D12" t="s">
        <v>716</v>
      </c>
      <c r="E12" t="s">
        <v>717</v>
      </c>
      <c r="F12">
        <v>120</v>
      </c>
      <c r="G12" t="s">
        <v>2252</v>
      </c>
      <c r="H12" t="s">
        <v>1610</v>
      </c>
      <c r="I12" t="s">
        <v>2246</v>
      </c>
      <c r="J12" t="s">
        <v>2247</v>
      </c>
    </row>
    <row r="13" spans="2:10" x14ac:dyDescent="0.25">
      <c r="B13" t="s">
        <v>1979</v>
      </c>
      <c r="C13" t="s">
        <v>715</v>
      </c>
      <c r="D13" t="s">
        <v>716</v>
      </c>
      <c r="E13" t="s">
        <v>717</v>
      </c>
      <c r="F13">
        <v>1920</v>
      </c>
      <c r="G13" t="s">
        <v>2248</v>
      </c>
      <c r="H13" t="s">
        <v>1610</v>
      </c>
      <c r="I13" t="s">
        <v>2246</v>
      </c>
      <c r="J13" t="s">
        <v>2247</v>
      </c>
    </row>
    <row r="14" spans="2:10" x14ac:dyDescent="0.25">
      <c r="B14" t="s">
        <v>1979</v>
      </c>
      <c r="C14" t="s">
        <v>411</v>
      </c>
      <c r="D14" t="s">
        <v>412</v>
      </c>
      <c r="E14" t="s">
        <v>413</v>
      </c>
      <c r="F14">
        <v>775</v>
      </c>
      <c r="G14" t="s">
        <v>2273</v>
      </c>
      <c r="H14" t="s">
        <v>1660</v>
      </c>
      <c r="I14" t="s">
        <v>2254</v>
      </c>
      <c r="J14" t="s">
        <v>2247</v>
      </c>
    </row>
    <row r="15" spans="2:10" x14ac:dyDescent="0.25">
      <c r="B15" t="s">
        <v>1979</v>
      </c>
      <c r="C15" t="s">
        <v>120</v>
      </c>
      <c r="D15" t="s">
        <v>540</v>
      </c>
      <c r="E15" t="s">
        <v>541</v>
      </c>
      <c r="F15">
        <v>2360</v>
      </c>
      <c r="G15" t="s">
        <v>2253</v>
      </c>
      <c r="H15" t="s">
        <v>1742</v>
      </c>
      <c r="I15" t="s">
        <v>2254</v>
      </c>
      <c r="J15" t="s">
        <v>2247</v>
      </c>
    </row>
    <row r="16" spans="2:10" x14ac:dyDescent="0.25">
      <c r="B16" t="s">
        <v>1979</v>
      </c>
      <c r="C16" t="s">
        <v>120</v>
      </c>
      <c r="D16" t="s">
        <v>540</v>
      </c>
      <c r="E16" t="s">
        <v>541</v>
      </c>
      <c r="F16">
        <v>2480</v>
      </c>
      <c r="G16" t="s">
        <v>2255</v>
      </c>
      <c r="H16" t="s">
        <v>1742</v>
      </c>
      <c r="I16" t="s">
        <v>2254</v>
      </c>
      <c r="J16" t="s">
        <v>2247</v>
      </c>
    </row>
    <row r="17" spans="2:10" x14ac:dyDescent="0.25">
      <c r="B17" t="s">
        <v>1979</v>
      </c>
      <c r="C17" t="s">
        <v>25</v>
      </c>
      <c r="D17" t="s">
        <v>470</v>
      </c>
      <c r="E17" t="s">
        <v>471</v>
      </c>
      <c r="F17">
        <v>720</v>
      </c>
      <c r="G17" t="s">
        <v>2260</v>
      </c>
      <c r="H17" t="s">
        <v>1606</v>
      </c>
      <c r="I17" t="s">
        <v>2254</v>
      </c>
      <c r="J17" t="s">
        <v>2247</v>
      </c>
    </row>
    <row r="18" spans="2:10" x14ac:dyDescent="0.25">
      <c r="B18" t="s">
        <v>1979</v>
      </c>
      <c r="C18" t="s">
        <v>25</v>
      </c>
      <c r="D18" t="s">
        <v>470</v>
      </c>
      <c r="E18" t="s">
        <v>471</v>
      </c>
      <c r="F18">
        <v>105</v>
      </c>
      <c r="G18" t="s">
        <v>2261</v>
      </c>
      <c r="H18" t="s">
        <v>1739</v>
      </c>
      <c r="I18" t="s">
        <v>2254</v>
      </c>
      <c r="J18" t="s">
        <v>2247</v>
      </c>
    </row>
    <row r="19" spans="2:10" x14ac:dyDescent="0.25">
      <c r="B19" t="s">
        <v>1979</v>
      </c>
      <c r="C19" t="s">
        <v>25</v>
      </c>
      <c r="D19" t="s">
        <v>470</v>
      </c>
      <c r="E19" t="s">
        <v>471</v>
      </c>
      <c r="F19">
        <v>769</v>
      </c>
      <c r="G19" t="s">
        <v>2261</v>
      </c>
      <c r="H19" t="s">
        <v>1739</v>
      </c>
      <c r="I19" t="s">
        <v>2254</v>
      </c>
      <c r="J19" t="s">
        <v>2247</v>
      </c>
    </row>
    <row r="20" spans="2:10" x14ac:dyDescent="0.25">
      <c r="B20" t="s">
        <v>1979</v>
      </c>
      <c r="C20" t="s">
        <v>25</v>
      </c>
      <c r="D20" t="s">
        <v>470</v>
      </c>
      <c r="E20" t="s">
        <v>471</v>
      </c>
      <c r="F20">
        <v>54</v>
      </c>
      <c r="G20" t="s">
        <v>2261</v>
      </c>
      <c r="H20" t="s">
        <v>1739</v>
      </c>
      <c r="I20" t="s">
        <v>2254</v>
      </c>
      <c r="J20" t="s">
        <v>2247</v>
      </c>
    </row>
    <row r="21" spans="2:10" x14ac:dyDescent="0.25">
      <c r="B21" t="s">
        <v>1979</v>
      </c>
      <c r="C21" t="s">
        <v>25</v>
      </c>
      <c r="D21" t="s">
        <v>470</v>
      </c>
      <c r="E21" t="s">
        <v>471</v>
      </c>
      <c r="F21">
        <v>240</v>
      </c>
      <c r="G21" t="s">
        <v>2262</v>
      </c>
      <c r="H21" t="s">
        <v>1789</v>
      </c>
      <c r="I21" t="s">
        <v>2254</v>
      </c>
      <c r="J21" t="s">
        <v>2247</v>
      </c>
    </row>
    <row r="22" spans="2:10" x14ac:dyDescent="0.25">
      <c r="B22" t="s">
        <v>1979</v>
      </c>
      <c r="C22" t="s">
        <v>25</v>
      </c>
      <c r="D22" t="s">
        <v>470</v>
      </c>
      <c r="E22" t="s">
        <v>471</v>
      </c>
      <c r="F22">
        <v>120</v>
      </c>
      <c r="G22" t="s">
        <v>2258</v>
      </c>
      <c r="H22" t="s">
        <v>1612</v>
      </c>
      <c r="I22" t="s">
        <v>2254</v>
      </c>
      <c r="J22" t="s">
        <v>2247</v>
      </c>
    </row>
    <row r="23" spans="2:10" x14ac:dyDescent="0.25">
      <c r="B23" t="s">
        <v>1979</v>
      </c>
      <c r="C23" t="s">
        <v>25</v>
      </c>
      <c r="D23" t="s">
        <v>470</v>
      </c>
      <c r="E23" t="s">
        <v>471</v>
      </c>
      <c r="F23">
        <v>280</v>
      </c>
      <c r="G23" t="s">
        <v>2259</v>
      </c>
      <c r="H23" t="s">
        <v>2110</v>
      </c>
      <c r="I23" t="s">
        <v>2254</v>
      </c>
      <c r="J23" t="s">
        <v>2247</v>
      </c>
    </row>
    <row r="24" spans="2:10" x14ac:dyDescent="0.25">
      <c r="B24" t="s">
        <v>1979</v>
      </c>
      <c r="C24" t="s">
        <v>25</v>
      </c>
      <c r="D24" t="s">
        <v>470</v>
      </c>
      <c r="E24" t="s">
        <v>471</v>
      </c>
      <c r="F24">
        <v>120</v>
      </c>
      <c r="G24" t="s">
        <v>2256</v>
      </c>
      <c r="H24" t="s">
        <v>1672</v>
      </c>
      <c r="I24" t="s">
        <v>2254</v>
      </c>
      <c r="J24" t="s">
        <v>2247</v>
      </c>
    </row>
    <row r="25" spans="2:10" x14ac:dyDescent="0.25">
      <c r="B25" t="s">
        <v>1979</v>
      </c>
      <c r="C25" t="s">
        <v>25</v>
      </c>
      <c r="D25" t="s">
        <v>470</v>
      </c>
      <c r="E25" t="s">
        <v>471</v>
      </c>
      <c r="F25">
        <v>120</v>
      </c>
      <c r="G25" t="s">
        <v>2263</v>
      </c>
      <c r="H25" t="s">
        <v>1660</v>
      </c>
      <c r="I25" t="s">
        <v>2254</v>
      </c>
      <c r="J25" t="s">
        <v>2247</v>
      </c>
    </row>
    <row r="26" spans="2:10" x14ac:dyDescent="0.25">
      <c r="B26" t="s">
        <v>1979</v>
      </c>
      <c r="C26" t="s">
        <v>40</v>
      </c>
      <c r="D26" t="s">
        <v>41</v>
      </c>
      <c r="E26" t="s">
        <v>42</v>
      </c>
      <c r="F26">
        <v>36</v>
      </c>
      <c r="G26" t="s">
        <v>2262</v>
      </c>
      <c r="H26" t="s">
        <v>1789</v>
      </c>
      <c r="I26" t="s">
        <v>2254</v>
      </c>
      <c r="J26" t="s">
        <v>2247</v>
      </c>
    </row>
    <row r="27" spans="2:10" x14ac:dyDescent="0.25">
      <c r="B27" t="s">
        <v>1979</v>
      </c>
      <c r="C27" t="s">
        <v>40</v>
      </c>
      <c r="D27" t="s">
        <v>41</v>
      </c>
      <c r="E27" t="s">
        <v>42</v>
      </c>
      <c r="F27">
        <v>240</v>
      </c>
      <c r="G27" t="s">
        <v>2256</v>
      </c>
      <c r="H27" t="s">
        <v>1672</v>
      </c>
      <c r="I27" t="s">
        <v>2254</v>
      </c>
      <c r="J27" t="s">
        <v>2247</v>
      </c>
    </row>
    <row r="28" spans="2:10" x14ac:dyDescent="0.25">
      <c r="B28" t="s">
        <v>1979</v>
      </c>
      <c r="C28" t="s">
        <v>80</v>
      </c>
      <c r="D28" t="s">
        <v>240</v>
      </c>
      <c r="E28" t="s">
        <v>241</v>
      </c>
      <c r="F28">
        <v>500</v>
      </c>
      <c r="G28" t="s">
        <v>2257</v>
      </c>
      <c r="H28" t="s">
        <v>1660</v>
      </c>
      <c r="I28" t="s">
        <v>2254</v>
      </c>
      <c r="J28" t="s">
        <v>2247</v>
      </c>
    </row>
    <row r="29" spans="2:10" x14ac:dyDescent="0.25">
      <c r="B29" t="s">
        <v>1979</v>
      </c>
      <c r="C29" t="s">
        <v>8</v>
      </c>
      <c r="D29" t="s">
        <v>605</v>
      </c>
      <c r="E29" t="s">
        <v>606</v>
      </c>
      <c r="F29">
        <v>2600</v>
      </c>
      <c r="G29" t="s">
        <v>2264</v>
      </c>
      <c r="H29" t="s">
        <v>1789</v>
      </c>
      <c r="I29" t="s">
        <v>2254</v>
      </c>
      <c r="J29" t="s">
        <v>2247</v>
      </c>
    </row>
    <row r="30" spans="2:10" x14ac:dyDescent="0.25">
      <c r="B30" t="s">
        <v>1979</v>
      </c>
      <c r="C30" t="s">
        <v>8</v>
      </c>
      <c r="D30" t="s">
        <v>605</v>
      </c>
      <c r="E30" t="s">
        <v>606</v>
      </c>
      <c r="F30">
        <v>10000</v>
      </c>
      <c r="G30" t="s">
        <v>2264</v>
      </c>
      <c r="H30" t="s">
        <v>1789</v>
      </c>
      <c r="I30" t="s">
        <v>2254</v>
      </c>
      <c r="J30" t="s">
        <v>2247</v>
      </c>
    </row>
    <row r="31" spans="2:10" x14ac:dyDescent="0.25">
      <c r="B31" t="s">
        <v>1979</v>
      </c>
      <c r="C31" t="s">
        <v>8</v>
      </c>
      <c r="D31" t="s">
        <v>605</v>
      </c>
      <c r="E31" t="s">
        <v>606</v>
      </c>
      <c r="F31">
        <v>2420</v>
      </c>
      <c r="G31" t="s">
        <v>2268</v>
      </c>
      <c r="H31" t="s">
        <v>1742</v>
      </c>
      <c r="I31" t="s">
        <v>2254</v>
      </c>
      <c r="J31" t="s">
        <v>2247</v>
      </c>
    </row>
    <row r="32" spans="2:10" x14ac:dyDescent="0.25">
      <c r="B32" t="s">
        <v>1979</v>
      </c>
      <c r="C32" t="s">
        <v>8</v>
      </c>
      <c r="D32" t="s">
        <v>605</v>
      </c>
      <c r="E32" t="s">
        <v>606</v>
      </c>
      <c r="F32">
        <v>8500</v>
      </c>
      <c r="G32" t="s">
        <v>2268</v>
      </c>
      <c r="H32" t="s">
        <v>1742</v>
      </c>
      <c r="I32" t="s">
        <v>2254</v>
      </c>
      <c r="J32" t="s">
        <v>2247</v>
      </c>
    </row>
    <row r="33" spans="2:10" x14ac:dyDescent="0.25">
      <c r="B33" t="s">
        <v>1979</v>
      </c>
      <c r="C33" t="s">
        <v>8</v>
      </c>
      <c r="D33" t="s">
        <v>605</v>
      </c>
      <c r="E33" t="s">
        <v>606</v>
      </c>
      <c r="F33">
        <v>8400</v>
      </c>
      <c r="G33" t="s">
        <v>2269</v>
      </c>
      <c r="H33" t="s">
        <v>1739</v>
      </c>
      <c r="I33" t="s">
        <v>2254</v>
      </c>
      <c r="J33" t="s">
        <v>2247</v>
      </c>
    </row>
    <row r="34" spans="2:10" x14ac:dyDescent="0.25">
      <c r="B34" t="s">
        <v>1979</v>
      </c>
      <c r="C34" t="s">
        <v>8</v>
      </c>
      <c r="D34" t="s">
        <v>605</v>
      </c>
      <c r="E34" t="s">
        <v>606</v>
      </c>
      <c r="F34">
        <v>9620</v>
      </c>
      <c r="G34" t="s">
        <v>2266</v>
      </c>
      <c r="H34" t="s">
        <v>1660</v>
      </c>
      <c r="I34" t="s">
        <v>2254</v>
      </c>
      <c r="J34" t="s">
        <v>2247</v>
      </c>
    </row>
    <row r="35" spans="2:10" x14ac:dyDescent="0.25">
      <c r="B35" t="s">
        <v>1979</v>
      </c>
      <c r="C35" t="s">
        <v>8</v>
      </c>
      <c r="D35" t="s">
        <v>605</v>
      </c>
      <c r="E35" t="s">
        <v>606</v>
      </c>
      <c r="F35">
        <v>10000</v>
      </c>
      <c r="G35" t="s">
        <v>2266</v>
      </c>
      <c r="H35" t="s">
        <v>1660</v>
      </c>
      <c r="I35" t="s">
        <v>2254</v>
      </c>
      <c r="J35" t="s">
        <v>2247</v>
      </c>
    </row>
    <row r="36" spans="2:10" x14ac:dyDescent="0.25">
      <c r="B36" t="s">
        <v>1979</v>
      </c>
      <c r="C36" t="s">
        <v>8</v>
      </c>
      <c r="D36" t="s">
        <v>605</v>
      </c>
      <c r="E36" t="s">
        <v>606</v>
      </c>
      <c r="F36">
        <v>540</v>
      </c>
      <c r="G36" t="s">
        <v>2266</v>
      </c>
      <c r="H36" t="s">
        <v>1660</v>
      </c>
      <c r="I36" t="s">
        <v>2254</v>
      </c>
      <c r="J36" t="s">
        <v>2247</v>
      </c>
    </row>
    <row r="37" spans="2:10" x14ac:dyDescent="0.25">
      <c r="B37" t="s">
        <v>1979</v>
      </c>
      <c r="C37" t="s">
        <v>8</v>
      </c>
      <c r="D37" t="s">
        <v>605</v>
      </c>
      <c r="E37" t="s">
        <v>606</v>
      </c>
      <c r="F37">
        <v>10000</v>
      </c>
      <c r="G37" t="s">
        <v>2265</v>
      </c>
      <c r="H37" t="s">
        <v>1629</v>
      </c>
      <c r="I37" t="s">
        <v>2254</v>
      </c>
      <c r="J37" t="s">
        <v>2247</v>
      </c>
    </row>
    <row r="38" spans="2:10" x14ac:dyDescent="0.25">
      <c r="B38" t="s">
        <v>1979</v>
      </c>
      <c r="C38" t="s">
        <v>8</v>
      </c>
      <c r="D38" t="s">
        <v>605</v>
      </c>
      <c r="E38" t="s">
        <v>606</v>
      </c>
      <c r="F38">
        <v>140</v>
      </c>
      <c r="G38" t="s">
        <v>2265</v>
      </c>
      <c r="H38" t="s">
        <v>1629</v>
      </c>
      <c r="I38" t="s">
        <v>2254</v>
      </c>
      <c r="J38" t="s">
        <v>2247</v>
      </c>
    </row>
    <row r="39" spans="2:10" x14ac:dyDescent="0.25">
      <c r="B39" t="s">
        <v>1979</v>
      </c>
      <c r="C39" t="s">
        <v>8</v>
      </c>
      <c r="D39" t="s">
        <v>605</v>
      </c>
      <c r="E39" t="s">
        <v>606</v>
      </c>
      <c r="F39">
        <v>9940</v>
      </c>
      <c r="G39" t="s">
        <v>2267</v>
      </c>
      <c r="H39" t="s">
        <v>1672</v>
      </c>
      <c r="I39" t="s">
        <v>2254</v>
      </c>
      <c r="J39" t="s">
        <v>2247</v>
      </c>
    </row>
    <row r="40" spans="2:10" x14ac:dyDescent="0.25">
      <c r="B40" t="s">
        <v>1979</v>
      </c>
      <c r="C40" t="s">
        <v>8</v>
      </c>
      <c r="D40" t="s">
        <v>605</v>
      </c>
      <c r="E40" t="s">
        <v>606</v>
      </c>
      <c r="F40">
        <v>10000</v>
      </c>
      <c r="G40" t="s">
        <v>2267</v>
      </c>
      <c r="H40" t="s">
        <v>1672</v>
      </c>
      <c r="I40" t="s">
        <v>2254</v>
      </c>
      <c r="J40" t="s">
        <v>2247</v>
      </c>
    </row>
    <row r="41" spans="2:10" x14ac:dyDescent="0.25">
      <c r="B41" t="s">
        <v>1979</v>
      </c>
      <c r="C41" t="s">
        <v>8</v>
      </c>
      <c r="D41" t="s">
        <v>605</v>
      </c>
      <c r="E41" t="s">
        <v>606</v>
      </c>
      <c r="F41">
        <v>220</v>
      </c>
      <c r="G41" t="s">
        <v>2267</v>
      </c>
      <c r="H41" t="s">
        <v>1672</v>
      </c>
      <c r="I41" t="s">
        <v>2254</v>
      </c>
      <c r="J41" t="s">
        <v>2247</v>
      </c>
    </row>
    <row r="42" spans="2:10" x14ac:dyDescent="0.25">
      <c r="B42" t="s">
        <v>1979</v>
      </c>
      <c r="C42" t="s">
        <v>8</v>
      </c>
      <c r="D42" t="s">
        <v>605</v>
      </c>
      <c r="E42" t="s">
        <v>606</v>
      </c>
      <c r="F42">
        <v>1020</v>
      </c>
      <c r="G42" t="s">
        <v>2265</v>
      </c>
      <c r="H42" t="s">
        <v>1629</v>
      </c>
      <c r="I42" t="s">
        <v>2254</v>
      </c>
      <c r="J42" t="s">
        <v>2247</v>
      </c>
    </row>
    <row r="43" spans="2:10" x14ac:dyDescent="0.25">
      <c r="B43" t="s">
        <v>1979</v>
      </c>
      <c r="C43" t="s">
        <v>8</v>
      </c>
      <c r="D43" t="s">
        <v>605</v>
      </c>
      <c r="E43" t="s">
        <v>606</v>
      </c>
      <c r="F43">
        <v>9000</v>
      </c>
      <c r="G43" t="s">
        <v>2265</v>
      </c>
      <c r="H43" t="s">
        <v>1629</v>
      </c>
      <c r="I43" t="s">
        <v>2254</v>
      </c>
      <c r="J43" t="s">
        <v>2247</v>
      </c>
    </row>
    <row r="44" spans="2:10" x14ac:dyDescent="0.25">
      <c r="B44" t="s">
        <v>1979</v>
      </c>
      <c r="C44" t="s">
        <v>70</v>
      </c>
      <c r="D44" t="s">
        <v>333</v>
      </c>
      <c r="E44" t="s">
        <v>334</v>
      </c>
      <c r="F44">
        <v>140</v>
      </c>
      <c r="G44" t="s">
        <v>2263</v>
      </c>
      <c r="H44" t="s">
        <v>1660</v>
      </c>
      <c r="I44" t="s">
        <v>2254</v>
      </c>
      <c r="J44" t="s">
        <v>2247</v>
      </c>
    </row>
    <row r="45" spans="2:10" x14ac:dyDescent="0.25">
      <c r="B45" t="s">
        <v>1979</v>
      </c>
      <c r="C45" t="s">
        <v>70</v>
      </c>
      <c r="D45" t="s">
        <v>333</v>
      </c>
      <c r="E45" t="s">
        <v>334</v>
      </c>
      <c r="F45">
        <v>200</v>
      </c>
      <c r="G45" t="s">
        <v>2253</v>
      </c>
      <c r="H45" t="s">
        <v>1742</v>
      </c>
      <c r="I45" t="s">
        <v>2254</v>
      </c>
      <c r="J45" t="s">
        <v>2247</v>
      </c>
    </row>
    <row r="46" spans="2:10" x14ac:dyDescent="0.25">
      <c r="B46" t="s">
        <v>1979</v>
      </c>
      <c r="C46" t="s">
        <v>623</v>
      </c>
      <c r="D46" t="s">
        <v>871</v>
      </c>
      <c r="E46" t="s">
        <v>872</v>
      </c>
      <c r="F46">
        <v>2000</v>
      </c>
      <c r="G46" t="s">
        <v>2262</v>
      </c>
      <c r="H46" t="s">
        <v>1789</v>
      </c>
      <c r="I46" t="s">
        <v>2254</v>
      </c>
      <c r="J46" t="s">
        <v>2247</v>
      </c>
    </row>
    <row r="47" spans="2:10" x14ac:dyDescent="0.25">
      <c r="B47" t="s">
        <v>1979</v>
      </c>
      <c r="C47" t="s">
        <v>623</v>
      </c>
      <c r="D47" t="s">
        <v>871</v>
      </c>
      <c r="E47" t="s">
        <v>872</v>
      </c>
      <c r="F47">
        <v>2080</v>
      </c>
      <c r="G47" t="s">
        <v>2253</v>
      </c>
      <c r="H47" t="s">
        <v>1742</v>
      </c>
      <c r="I47" t="s">
        <v>2254</v>
      </c>
      <c r="J47" t="s">
        <v>2247</v>
      </c>
    </row>
    <row r="48" spans="2:10" x14ac:dyDescent="0.25">
      <c r="B48" t="s">
        <v>1979</v>
      </c>
      <c r="C48" t="s">
        <v>8</v>
      </c>
      <c r="D48" t="s">
        <v>605</v>
      </c>
      <c r="E48" t="s">
        <v>606</v>
      </c>
      <c r="F48">
        <v>8360</v>
      </c>
      <c r="G48" t="s">
        <v>2270</v>
      </c>
      <c r="H48" t="s">
        <v>1612</v>
      </c>
      <c r="I48" t="s">
        <v>2254</v>
      </c>
      <c r="J48" t="s">
        <v>2247</v>
      </c>
    </row>
    <row r="49" spans="2:10" x14ac:dyDescent="0.25">
      <c r="B49" t="s">
        <v>1979</v>
      </c>
      <c r="C49" t="s">
        <v>8</v>
      </c>
      <c r="D49" t="s">
        <v>605</v>
      </c>
      <c r="E49" t="s">
        <v>606</v>
      </c>
      <c r="F49">
        <v>6000</v>
      </c>
      <c r="G49" t="s">
        <v>2270</v>
      </c>
      <c r="H49" t="s">
        <v>1612</v>
      </c>
      <c r="I49" t="s">
        <v>2254</v>
      </c>
      <c r="J49" t="s">
        <v>2247</v>
      </c>
    </row>
    <row r="50" spans="2:10" x14ac:dyDescent="0.25">
      <c r="B50" t="s">
        <v>1979</v>
      </c>
      <c r="C50" t="s">
        <v>8</v>
      </c>
      <c r="D50" t="s">
        <v>605</v>
      </c>
      <c r="E50" t="s">
        <v>606</v>
      </c>
      <c r="F50">
        <v>5220</v>
      </c>
      <c r="G50" t="s">
        <v>2270</v>
      </c>
      <c r="H50" t="s">
        <v>1612</v>
      </c>
      <c r="I50" t="s">
        <v>2254</v>
      </c>
      <c r="J50" t="s">
        <v>2247</v>
      </c>
    </row>
    <row r="51" spans="2:10" x14ac:dyDescent="0.25">
      <c r="B51" t="s">
        <v>1979</v>
      </c>
      <c r="C51" t="s">
        <v>8</v>
      </c>
      <c r="D51" t="s">
        <v>605</v>
      </c>
      <c r="E51" t="s">
        <v>606</v>
      </c>
      <c r="F51">
        <v>580</v>
      </c>
      <c r="G51" t="s">
        <v>2270</v>
      </c>
      <c r="H51" t="s">
        <v>1612</v>
      </c>
      <c r="I51" t="s">
        <v>2254</v>
      </c>
      <c r="J51" t="s">
        <v>2247</v>
      </c>
    </row>
    <row r="52" spans="2:10" x14ac:dyDescent="0.25">
      <c r="B52" t="s">
        <v>1979</v>
      </c>
      <c r="C52" t="s">
        <v>8</v>
      </c>
      <c r="D52" t="s">
        <v>605</v>
      </c>
      <c r="E52" t="s">
        <v>606</v>
      </c>
      <c r="F52">
        <v>3440</v>
      </c>
      <c r="G52" t="s">
        <v>2271</v>
      </c>
      <c r="H52" t="s">
        <v>2110</v>
      </c>
      <c r="I52" t="s">
        <v>2254</v>
      </c>
      <c r="J52" t="s">
        <v>2247</v>
      </c>
    </row>
    <row r="53" spans="2:10" x14ac:dyDescent="0.25">
      <c r="B53" t="s">
        <v>1979</v>
      </c>
      <c r="C53" t="s">
        <v>8</v>
      </c>
      <c r="D53" t="s">
        <v>605</v>
      </c>
      <c r="E53" t="s">
        <v>606</v>
      </c>
      <c r="F53">
        <v>2440</v>
      </c>
      <c r="G53" t="s">
        <v>2271</v>
      </c>
      <c r="H53" t="s">
        <v>2110</v>
      </c>
      <c r="I53" t="s">
        <v>2254</v>
      </c>
      <c r="J53" t="s">
        <v>2247</v>
      </c>
    </row>
    <row r="54" spans="2:10" x14ac:dyDescent="0.25">
      <c r="B54" t="s">
        <v>1979</v>
      </c>
      <c r="C54" t="s">
        <v>8</v>
      </c>
      <c r="D54" t="s">
        <v>605</v>
      </c>
      <c r="E54" t="s">
        <v>606</v>
      </c>
      <c r="F54">
        <v>7180</v>
      </c>
      <c r="G54" t="s">
        <v>2272</v>
      </c>
      <c r="H54" t="s">
        <v>1606</v>
      </c>
      <c r="I54" t="s">
        <v>2254</v>
      </c>
      <c r="J54" t="s">
        <v>2247</v>
      </c>
    </row>
    <row r="55" spans="2:10" x14ac:dyDescent="0.25">
      <c r="B55" t="s">
        <v>1979</v>
      </c>
      <c r="C55" t="s">
        <v>8</v>
      </c>
      <c r="D55" t="s">
        <v>605</v>
      </c>
      <c r="E55" t="s">
        <v>606</v>
      </c>
      <c r="F55">
        <v>1220</v>
      </c>
      <c r="G55" t="s">
        <v>2272</v>
      </c>
      <c r="H55" t="s">
        <v>1606</v>
      </c>
      <c r="I55" t="s">
        <v>2254</v>
      </c>
      <c r="J55" t="s">
        <v>2247</v>
      </c>
    </row>
    <row r="56" spans="2:10" x14ac:dyDescent="0.25">
      <c r="B56" t="s">
        <v>1979</v>
      </c>
      <c r="C56" t="s">
        <v>8</v>
      </c>
      <c r="D56" t="s">
        <v>605</v>
      </c>
      <c r="E56" t="s">
        <v>606</v>
      </c>
      <c r="F56">
        <v>980</v>
      </c>
      <c r="G56" t="s">
        <v>2277</v>
      </c>
      <c r="H56" t="s">
        <v>1646</v>
      </c>
      <c r="I56" t="s">
        <v>2246</v>
      </c>
      <c r="J56" t="s">
        <v>2247</v>
      </c>
    </row>
    <row r="57" spans="2:10" x14ac:dyDescent="0.25">
      <c r="B57" t="s">
        <v>1979</v>
      </c>
      <c r="C57" t="s">
        <v>8</v>
      </c>
      <c r="D57" t="s">
        <v>605</v>
      </c>
      <c r="E57" t="s">
        <v>606</v>
      </c>
      <c r="F57">
        <v>20</v>
      </c>
      <c r="G57" t="s">
        <v>2277</v>
      </c>
      <c r="H57" t="s">
        <v>1646</v>
      </c>
      <c r="I57" t="s">
        <v>2246</v>
      </c>
      <c r="J57" t="s">
        <v>2247</v>
      </c>
    </row>
    <row r="58" spans="2:10" x14ac:dyDescent="0.25">
      <c r="B58" t="s">
        <v>1979</v>
      </c>
      <c r="C58" t="s">
        <v>8</v>
      </c>
      <c r="D58" t="s">
        <v>605</v>
      </c>
      <c r="E58" t="s">
        <v>606</v>
      </c>
      <c r="F58">
        <v>1000</v>
      </c>
      <c r="G58" t="s">
        <v>2278</v>
      </c>
      <c r="H58" t="s">
        <v>1646</v>
      </c>
      <c r="I58" t="s">
        <v>2246</v>
      </c>
      <c r="J58" t="s">
        <v>2247</v>
      </c>
    </row>
    <row r="59" spans="2:10" x14ac:dyDescent="0.25">
      <c r="B59" t="s">
        <v>1979</v>
      </c>
      <c r="C59" t="s">
        <v>8</v>
      </c>
      <c r="D59" t="s">
        <v>605</v>
      </c>
      <c r="E59" t="s">
        <v>606</v>
      </c>
      <c r="F59">
        <v>1000</v>
      </c>
      <c r="G59" t="s">
        <v>2274</v>
      </c>
      <c r="H59" t="s">
        <v>1646</v>
      </c>
      <c r="I59" t="s">
        <v>2246</v>
      </c>
      <c r="J59" t="s">
        <v>2247</v>
      </c>
    </row>
    <row r="60" spans="2:10" x14ac:dyDescent="0.25">
      <c r="B60" t="s">
        <v>1979</v>
      </c>
      <c r="C60" t="s">
        <v>61</v>
      </c>
      <c r="D60" t="s">
        <v>231</v>
      </c>
      <c r="E60" t="s">
        <v>232</v>
      </c>
      <c r="F60">
        <v>600</v>
      </c>
      <c r="G60" t="s">
        <v>2276</v>
      </c>
      <c r="H60" t="s">
        <v>1742</v>
      </c>
      <c r="I60" t="s">
        <v>2246</v>
      </c>
      <c r="J60" t="s">
        <v>2247</v>
      </c>
    </row>
    <row r="61" spans="2:10" x14ac:dyDescent="0.25">
      <c r="B61" t="s">
        <v>1979</v>
      </c>
      <c r="C61" t="s">
        <v>61</v>
      </c>
      <c r="D61" t="s">
        <v>231</v>
      </c>
      <c r="E61" t="s">
        <v>232</v>
      </c>
      <c r="F61">
        <v>240</v>
      </c>
      <c r="G61" t="s">
        <v>2274</v>
      </c>
      <c r="H61" t="s">
        <v>1646</v>
      </c>
      <c r="I61" t="s">
        <v>2246</v>
      </c>
      <c r="J61" t="s">
        <v>2247</v>
      </c>
    </row>
    <row r="62" spans="2:10" x14ac:dyDescent="0.25">
      <c r="B62" t="s">
        <v>1979</v>
      </c>
      <c r="C62" t="s">
        <v>61</v>
      </c>
      <c r="D62" t="s">
        <v>231</v>
      </c>
      <c r="E62" t="s">
        <v>232</v>
      </c>
      <c r="F62">
        <v>260</v>
      </c>
      <c r="G62" t="s">
        <v>2274</v>
      </c>
      <c r="H62" t="s">
        <v>1646</v>
      </c>
      <c r="I62" t="s">
        <v>2246</v>
      </c>
      <c r="J62" t="s">
        <v>2247</v>
      </c>
    </row>
    <row r="63" spans="2:10" x14ac:dyDescent="0.25">
      <c r="B63" t="s">
        <v>1979</v>
      </c>
      <c r="C63" t="s">
        <v>61</v>
      </c>
      <c r="D63" t="s">
        <v>231</v>
      </c>
      <c r="E63" t="s">
        <v>232</v>
      </c>
      <c r="F63">
        <v>40</v>
      </c>
      <c r="G63" t="s">
        <v>2275</v>
      </c>
      <c r="H63" t="s">
        <v>1605</v>
      </c>
      <c r="I63" t="s">
        <v>2246</v>
      </c>
      <c r="J63" t="s">
        <v>2247</v>
      </c>
    </row>
    <row r="64" spans="2:10" x14ac:dyDescent="0.25">
      <c r="B64" t="s">
        <v>1979</v>
      </c>
      <c r="C64" t="s">
        <v>120</v>
      </c>
      <c r="D64" t="s">
        <v>540</v>
      </c>
      <c r="E64" t="s">
        <v>541</v>
      </c>
      <c r="F64">
        <v>200</v>
      </c>
      <c r="G64" t="s">
        <v>2279</v>
      </c>
      <c r="H64" t="s">
        <v>1646</v>
      </c>
      <c r="I64" t="s">
        <v>2246</v>
      </c>
      <c r="J64" t="s">
        <v>2247</v>
      </c>
    </row>
    <row r="65" spans="2:10" x14ac:dyDescent="0.25">
      <c r="B65" t="s">
        <v>1979</v>
      </c>
      <c r="C65" t="s">
        <v>120</v>
      </c>
      <c r="D65" t="s">
        <v>540</v>
      </c>
      <c r="E65" t="s">
        <v>541</v>
      </c>
      <c r="F65">
        <v>300</v>
      </c>
      <c r="G65" t="s">
        <v>2278</v>
      </c>
      <c r="H65" t="s">
        <v>1646</v>
      </c>
      <c r="I65" t="s">
        <v>2246</v>
      </c>
      <c r="J65" t="s">
        <v>2247</v>
      </c>
    </row>
    <row r="66" spans="2:10" x14ac:dyDescent="0.25">
      <c r="B66" t="s">
        <v>1979</v>
      </c>
      <c r="C66" t="s">
        <v>120</v>
      </c>
      <c r="D66" t="s">
        <v>540</v>
      </c>
      <c r="E66" t="s">
        <v>541</v>
      </c>
      <c r="F66">
        <v>1000</v>
      </c>
      <c r="G66" t="s">
        <v>2274</v>
      </c>
      <c r="H66" t="s">
        <v>1646</v>
      </c>
      <c r="I66" t="s">
        <v>2246</v>
      </c>
      <c r="J66" t="s">
        <v>2247</v>
      </c>
    </row>
    <row r="67" spans="2:10" x14ac:dyDescent="0.25">
      <c r="B67" t="s">
        <v>1979</v>
      </c>
      <c r="C67" t="s">
        <v>120</v>
      </c>
      <c r="D67" t="s">
        <v>540</v>
      </c>
      <c r="E67" t="s">
        <v>541</v>
      </c>
      <c r="F67">
        <v>1500</v>
      </c>
      <c r="G67" t="s">
        <v>2280</v>
      </c>
      <c r="H67" t="s">
        <v>1646</v>
      </c>
      <c r="I67" t="s">
        <v>2246</v>
      </c>
      <c r="J67" t="s">
        <v>2247</v>
      </c>
    </row>
    <row r="68" spans="2:10" x14ac:dyDescent="0.25">
      <c r="B68" t="s">
        <v>1979</v>
      </c>
      <c r="C68" t="s">
        <v>272</v>
      </c>
      <c r="D68" t="s">
        <v>574</v>
      </c>
      <c r="E68" t="s">
        <v>575</v>
      </c>
      <c r="F68">
        <v>200</v>
      </c>
      <c r="G68" t="s">
        <v>2274</v>
      </c>
      <c r="H68" t="s">
        <v>1646</v>
      </c>
      <c r="I68" t="s">
        <v>2246</v>
      </c>
      <c r="J68" t="s">
        <v>2247</v>
      </c>
    </row>
    <row r="69" spans="2:10" x14ac:dyDescent="0.25">
      <c r="B69" t="s">
        <v>1979</v>
      </c>
      <c r="C69" t="s">
        <v>272</v>
      </c>
      <c r="D69" t="s">
        <v>1342</v>
      </c>
      <c r="E69" t="s">
        <v>1343</v>
      </c>
      <c r="F69">
        <v>100</v>
      </c>
      <c r="G69" t="s">
        <v>2274</v>
      </c>
      <c r="H69" t="s">
        <v>1646</v>
      </c>
      <c r="I69" t="s">
        <v>2246</v>
      </c>
      <c r="J69" t="s">
        <v>2247</v>
      </c>
    </row>
    <row r="70" spans="2:10" x14ac:dyDescent="0.25">
      <c r="B70" t="s">
        <v>1979</v>
      </c>
      <c r="C70" t="s">
        <v>715</v>
      </c>
      <c r="D70" t="s">
        <v>716</v>
      </c>
      <c r="E70" t="s">
        <v>717</v>
      </c>
      <c r="F70">
        <v>1080</v>
      </c>
      <c r="G70" t="s">
        <v>2282</v>
      </c>
      <c r="H70" t="s">
        <v>1773</v>
      </c>
      <c r="I70" t="s">
        <v>2246</v>
      </c>
      <c r="J70" t="s">
        <v>2247</v>
      </c>
    </row>
    <row r="71" spans="2:10" x14ac:dyDescent="0.25">
      <c r="B71" t="s">
        <v>1979</v>
      </c>
      <c r="C71" t="s">
        <v>715</v>
      </c>
      <c r="D71" t="s">
        <v>716</v>
      </c>
      <c r="E71" t="s">
        <v>717</v>
      </c>
      <c r="F71">
        <v>2040</v>
      </c>
      <c r="G71" t="s">
        <v>2281</v>
      </c>
      <c r="H71" t="s">
        <v>1610</v>
      </c>
      <c r="I71" t="s">
        <v>2246</v>
      </c>
      <c r="J71" t="s">
        <v>2247</v>
      </c>
    </row>
    <row r="72" spans="2:10" x14ac:dyDescent="0.25">
      <c r="B72" t="s">
        <v>1979</v>
      </c>
      <c r="C72" t="s">
        <v>715</v>
      </c>
      <c r="D72" t="s">
        <v>716</v>
      </c>
      <c r="E72" t="s">
        <v>717</v>
      </c>
      <c r="F72">
        <v>240</v>
      </c>
      <c r="G72" t="s">
        <v>2283</v>
      </c>
      <c r="H72" t="s">
        <v>1649</v>
      </c>
      <c r="I72" t="s">
        <v>2284</v>
      </c>
      <c r="J72" t="s">
        <v>2247</v>
      </c>
    </row>
    <row r="73" spans="2:10" x14ac:dyDescent="0.25">
      <c r="B73" t="s">
        <v>1979</v>
      </c>
      <c r="C73" t="s">
        <v>61</v>
      </c>
      <c r="D73" t="s">
        <v>231</v>
      </c>
      <c r="E73" t="s">
        <v>232</v>
      </c>
      <c r="F73">
        <v>760</v>
      </c>
      <c r="G73" t="s">
        <v>2283</v>
      </c>
      <c r="H73" t="s">
        <v>1649</v>
      </c>
      <c r="I73" t="s">
        <v>2284</v>
      </c>
      <c r="J73" t="s">
        <v>2247</v>
      </c>
    </row>
    <row r="74" spans="2:10" x14ac:dyDescent="0.25">
      <c r="B74" t="s">
        <v>1979</v>
      </c>
      <c r="C74" t="s">
        <v>61</v>
      </c>
      <c r="D74" t="s">
        <v>231</v>
      </c>
      <c r="E74" t="s">
        <v>232</v>
      </c>
      <c r="F74">
        <v>1740</v>
      </c>
      <c r="G74" t="s">
        <v>2283</v>
      </c>
      <c r="H74" t="s">
        <v>1649</v>
      </c>
      <c r="I74" t="s">
        <v>2284</v>
      </c>
      <c r="J74" t="s">
        <v>2247</v>
      </c>
    </row>
    <row r="75" spans="2:10" x14ac:dyDescent="0.25">
      <c r="B75" t="s">
        <v>1979</v>
      </c>
      <c r="C75" t="s">
        <v>8</v>
      </c>
      <c r="D75" t="s">
        <v>605</v>
      </c>
      <c r="E75" t="s">
        <v>606</v>
      </c>
      <c r="F75">
        <v>3500</v>
      </c>
      <c r="G75" t="s">
        <v>2283</v>
      </c>
      <c r="H75" t="s">
        <v>1649</v>
      </c>
      <c r="I75" t="s">
        <v>2284</v>
      </c>
      <c r="J75" t="s">
        <v>2247</v>
      </c>
    </row>
    <row r="76" spans="2:10" x14ac:dyDescent="0.25">
      <c r="B76" t="s">
        <v>1979</v>
      </c>
      <c r="C76" t="s">
        <v>17</v>
      </c>
      <c r="D76" t="s">
        <v>255</v>
      </c>
      <c r="E76" t="s">
        <v>256</v>
      </c>
      <c r="F76">
        <v>2000</v>
      </c>
      <c r="G76" t="s">
        <v>2285</v>
      </c>
      <c r="H76" t="s">
        <v>1649</v>
      </c>
      <c r="I76" t="s">
        <v>2284</v>
      </c>
      <c r="J76" t="s">
        <v>2247</v>
      </c>
    </row>
    <row r="77" spans="2:10" x14ac:dyDescent="0.25">
      <c r="B77" t="s">
        <v>1979</v>
      </c>
      <c r="C77" t="s">
        <v>20</v>
      </c>
      <c r="D77" t="s">
        <v>459</v>
      </c>
      <c r="E77" t="s">
        <v>460</v>
      </c>
      <c r="F77">
        <v>3500</v>
      </c>
      <c r="G77" t="s">
        <v>2286</v>
      </c>
      <c r="H77" t="s">
        <v>1751</v>
      </c>
      <c r="I77" t="s">
        <v>1972</v>
      </c>
      <c r="J77" t="s">
        <v>2247</v>
      </c>
    </row>
    <row r="78" spans="2:10" x14ac:dyDescent="0.25">
      <c r="B78" t="s">
        <v>1979</v>
      </c>
      <c r="C78" t="s">
        <v>195</v>
      </c>
      <c r="D78" t="s">
        <v>1167</v>
      </c>
      <c r="E78" t="s">
        <v>1168</v>
      </c>
      <c r="F78">
        <v>1900</v>
      </c>
      <c r="G78" t="s">
        <v>2286</v>
      </c>
      <c r="H78" t="s">
        <v>1751</v>
      </c>
      <c r="I78" t="s">
        <v>1972</v>
      </c>
      <c r="J78" t="s">
        <v>2247</v>
      </c>
    </row>
    <row r="79" spans="2:10" x14ac:dyDescent="0.25">
      <c r="B79" t="s">
        <v>1979</v>
      </c>
      <c r="C79" t="s">
        <v>25</v>
      </c>
      <c r="D79" t="s">
        <v>470</v>
      </c>
      <c r="E79" t="s">
        <v>471</v>
      </c>
      <c r="F79">
        <v>120</v>
      </c>
      <c r="G79" t="s">
        <v>2287</v>
      </c>
      <c r="H79" t="s">
        <v>1752</v>
      </c>
      <c r="I79" t="s">
        <v>1973</v>
      </c>
      <c r="J79" t="s">
        <v>2247</v>
      </c>
    </row>
    <row r="80" spans="2:10" x14ac:dyDescent="0.25">
      <c r="B80" t="s">
        <v>1979</v>
      </c>
      <c r="C80" t="s">
        <v>40</v>
      </c>
      <c r="D80" t="s">
        <v>41</v>
      </c>
      <c r="E80" t="s">
        <v>42</v>
      </c>
      <c r="F80">
        <v>504</v>
      </c>
      <c r="G80" t="s">
        <v>2288</v>
      </c>
      <c r="H80" t="s">
        <v>1751</v>
      </c>
      <c r="I80" t="s">
        <v>1972</v>
      </c>
      <c r="J80" t="s">
        <v>2247</v>
      </c>
    </row>
    <row r="81" spans="2:10" x14ac:dyDescent="0.25">
      <c r="B81" t="s">
        <v>1979</v>
      </c>
      <c r="C81" t="s">
        <v>73</v>
      </c>
      <c r="D81" t="s">
        <v>235</v>
      </c>
      <c r="E81" t="s">
        <v>236</v>
      </c>
      <c r="F81">
        <v>120</v>
      </c>
      <c r="G81" t="s">
        <v>2289</v>
      </c>
      <c r="H81" t="s">
        <v>1751</v>
      </c>
      <c r="I81" t="s">
        <v>1972</v>
      </c>
      <c r="J81" t="s">
        <v>2247</v>
      </c>
    </row>
    <row r="82" spans="2:10" x14ac:dyDescent="0.25">
      <c r="B82" t="s">
        <v>1979</v>
      </c>
      <c r="C82" t="s">
        <v>40</v>
      </c>
      <c r="D82" t="s">
        <v>41</v>
      </c>
      <c r="E82" t="s">
        <v>42</v>
      </c>
      <c r="F82">
        <v>720</v>
      </c>
      <c r="G82" t="s">
        <v>2290</v>
      </c>
      <c r="H82" t="s">
        <v>1751</v>
      </c>
      <c r="I82" t="s">
        <v>1972</v>
      </c>
      <c r="J82" t="s">
        <v>2247</v>
      </c>
    </row>
    <row r="83" spans="2:10" x14ac:dyDescent="0.25">
      <c r="B83" t="s">
        <v>1979</v>
      </c>
      <c r="C83" t="s">
        <v>40</v>
      </c>
      <c r="D83" t="s">
        <v>41</v>
      </c>
      <c r="E83" t="s">
        <v>42</v>
      </c>
      <c r="F83">
        <v>720</v>
      </c>
      <c r="G83" t="s">
        <v>2291</v>
      </c>
      <c r="H83" t="s">
        <v>1751</v>
      </c>
      <c r="I83" t="s">
        <v>1972</v>
      </c>
      <c r="J83" t="s">
        <v>2247</v>
      </c>
    </row>
    <row r="84" spans="2:10" x14ac:dyDescent="0.25">
      <c r="B84" t="s">
        <v>1979</v>
      </c>
      <c r="C84" t="s">
        <v>40</v>
      </c>
      <c r="D84" t="s">
        <v>41</v>
      </c>
      <c r="E84" t="s">
        <v>42</v>
      </c>
      <c r="F84">
        <v>3</v>
      </c>
      <c r="G84" t="s">
        <v>2292</v>
      </c>
      <c r="H84" t="s">
        <v>1751</v>
      </c>
      <c r="I84" t="s">
        <v>1972</v>
      </c>
      <c r="J84" t="s">
        <v>2247</v>
      </c>
    </row>
    <row r="85" spans="2:10" x14ac:dyDescent="0.25">
      <c r="B85" t="s">
        <v>1979</v>
      </c>
      <c r="C85" t="s">
        <v>40</v>
      </c>
      <c r="D85" t="s">
        <v>41</v>
      </c>
      <c r="E85" t="s">
        <v>42</v>
      </c>
      <c r="F85">
        <v>4</v>
      </c>
      <c r="G85" t="s">
        <v>2292</v>
      </c>
      <c r="H85" t="s">
        <v>1751</v>
      </c>
      <c r="I85" t="s">
        <v>1972</v>
      </c>
      <c r="J85" t="s">
        <v>2247</v>
      </c>
    </row>
    <row r="86" spans="2:10" x14ac:dyDescent="0.25">
      <c r="B86" t="s">
        <v>1979</v>
      </c>
      <c r="C86" t="s">
        <v>40</v>
      </c>
      <c r="D86" t="s">
        <v>41</v>
      </c>
      <c r="E86" t="s">
        <v>42</v>
      </c>
      <c r="F86">
        <v>80</v>
      </c>
      <c r="G86" t="s">
        <v>2292</v>
      </c>
      <c r="H86" t="s">
        <v>1751</v>
      </c>
      <c r="I86" t="s">
        <v>1972</v>
      </c>
      <c r="J86" t="s">
        <v>2247</v>
      </c>
    </row>
    <row r="87" spans="2:10" x14ac:dyDescent="0.25">
      <c r="B87" t="s">
        <v>1979</v>
      </c>
      <c r="C87" t="s">
        <v>40</v>
      </c>
      <c r="D87" t="s">
        <v>41</v>
      </c>
      <c r="E87" t="s">
        <v>42</v>
      </c>
      <c r="F87">
        <v>417</v>
      </c>
      <c r="G87" t="s">
        <v>2292</v>
      </c>
      <c r="H87" t="s">
        <v>1751</v>
      </c>
      <c r="I87" t="s">
        <v>1972</v>
      </c>
      <c r="J87" t="s">
        <v>2247</v>
      </c>
    </row>
    <row r="88" spans="2:10" x14ac:dyDescent="0.25">
      <c r="B88" t="s">
        <v>1979</v>
      </c>
      <c r="C88" t="s">
        <v>715</v>
      </c>
      <c r="D88" t="s">
        <v>716</v>
      </c>
      <c r="E88" t="s">
        <v>717</v>
      </c>
      <c r="F88">
        <v>3600</v>
      </c>
      <c r="G88" t="s">
        <v>2293</v>
      </c>
      <c r="H88" t="s">
        <v>1610</v>
      </c>
      <c r="I88" t="s">
        <v>2246</v>
      </c>
      <c r="J88" t="s">
        <v>2247</v>
      </c>
    </row>
    <row r="89" spans="2:10" x14ac:dyDescent="0.25">
      <c r="B89" t="s">
        <v>1979</v>
      </c>
      <c r="C89" t="s">
        <v>25</v>
      </c>
      <c r="D89" t="s">
        <v>470</v>
      </c>
      <c r="E89" t="s">
        <v>471</v>
      </c>
      <c r="F89">
        <v>24</v>
      </c>
      <c r="G89" t="s">
        <v>2294</v>
      </c>
      <c r="H89" t="s">
        <v>1649</v>
      </c>
      <c r="I89" t="s">
        <v>2295</v>
      </c>
      <c r="J89" t="s">
        <v>2247</v>
      </c>
    </row>
    <row r="90" spans="2:10" x14ac:dyDescent="0.25">
      <c r="B90" t="s">
        <v>1979</v>
      </c>
      <c r="C90" t="s">
        <v>20</v>
      </c>
      <c r="D90" t="s">
        <v>459</v>
      </c>
      <c r="E90" t="s">
        <v>460</v>
      </c>
      <c r="F90">
        <v>1000</v>
      </c>
      <c r="G90" t="s">
        <v>2294</v>
      </c>
      <c r="H90" t="s">
        <v>1649</v>
      </c>
      <c r="I90" t="s">
        <v>2295</v>
      </c>
      <c r="J90" t="s">
        <v>2247</v>
      </c>
    </row>
    <row r="91" spans="2:10" x14ac:dyDescent="0.25">
      <c r="B91" t="s">
        <v>1979</v>
      </c>
      <c r="C91" t="s">
        <v>20</v>
      </c>
      <c r="D91" t="s">
        <v>459</v>
      </c>
      <c r="E91" t="s">
        <v>460</v>
      </c>
      <c r="F91">
        <v>1000</v>
      </c>
      <c r="G91" t="s">
        <v>2296</v>
      </c>
      <c r="H91" t="s">
        <v>1789</v>
      </c>
      <c r="I91" t="s">
        <v>2297</v>
      </c>
      <c r="J91" t="s">
        <v>2247</v>
      </c>
    </row>
    <row r="92" spans="2:10" x14ac:dyDescent="0.25">
      <c r="B92" t="s">
        <v>1979</v>
      </c>
      <c r="C92" t="s">
        <v>25</v>
      </c>
      <c r="D92" t="s">
        <v>470</v>
      </c>
      <c r="E92" t="s">
        <v>471</v>
      </c>
      <c r="F92">
        <v>144</v>
      </c>
      <c r="G92" t="s">
        <v>2296</v>
      </c>
      <c r="H92" t="s">
        <v>1789</v>
      </c>
      <c r="I92" t="s">
        <v>2297</v>
      </c>
      <c r="J92" t="s">
        <v>2247</v>
      </c>
    </row>
    <row r="93" spans="2:10" x14ac:dyDescent="0.25">
      <c r="B93" t="s">
        <v>1979</v>
      </c>
      <c r="C93" t="s">
        <v>25</v>
      </c>
      <c r="D93" t="s">
        <v>470</v>
      </c>
      <c r="E93" t="s">
        <v>471</v>
      </c>
      <c r="F93">
        <v>144</v>
      </c>
      <c r="G93" t="s">
        <v>2298</v>
      </c>
      <c r="H93" t="s">
        <v>2110</v>
      </c>
      <c r="I93" t="s">
        <v>2297</v>
      </c>
      <c r="J93" t="s">
        <v>2247</v>
      </c>
    </row>
    <row r="94" spans="2:10" x14ac:dyDescent="0.25">
      <c r="B94" t="s">
        <v>1979</v>
      </c>
      <c r="C94" t="s">
        <v>11</v>
      </c>
      <c r="D94" t="s">
        <v>1326</v>
      </c>
      <c r="E94" t="s">
        <v>1327</v>
      </c>
      <c r="F94">
        <v>500</v>
      </c>
      <c r="G94" t="s">
        <v>2296</v>
      </c>
      <c r="H94" t="s">
        <v>1789</v>
      </c>
      <c r="I94" t="s">
        <v>2297</v>
      </c>
      <c r="J94" t="s">
        <v>2247</v>
      </c>
    </row>
    <row r="95" spans="2:10" x14ac:dyDescent="0.25">
      <c r="B95" t="s">
        <v>1979</v>
      </c>
      <c r="C95" t="s">
        <v>148</v>
      </c>
      <c r="D95" t="s">
        <v>544</v>
      </c>
      <c r="E95" t="s">
        <v>545</v>
      </c>
      <c r="F95">
        <v>1500</v>
      </c>
      <c r="G95" t="s">
        <v>2296</v>
      </c>
      <c r="H95" t="s">
        <v>1789</v>
      </c>
      <c r="I95" t="s">
        <v>2297</v>
      </c>
      <c r="J95" t="s">
        <v>2247</v>
      </c>
    </row>
    <row r="96" spans="2:10" x14ac:dyDescent="0.25">
      <c r="B96" t="s">
        <v>1979</v>
      </c>
      <c r="C96" t="s">
        <v>25</v>
      </c>
      <c r="D96" t="s">
        <v>470</v>
      </c>
      <c r="E96" t="s">
        <v>471</v>
      </c>
      <c r="F96">
        <v>3</v>
      </c>
      <c r="G96" t="s">
        <v>2514</v>
      </c>
      <c r="H96" t="s">
        <v>1627</v>
      </c>
      <c r="I96" t="s">
        <v>1972</v>
      </c>
      <c r="J96" t="s">
        <v>2247</v>
      </c>
    </row>
    <row r="97" spans="2:10" x14ac:dyDescent="0.25">
      <c r="B97" t="s">
        <v>1979</v>
      </c>
      <c r="C97" t="s">
        <v>25</v>
      </c>
      <c r="D97" t="s">
        <v>470</v>
      </c>
      <c r="E97" t="s">
        <v>471</v>
      </c>
      <c r="F97">
        <v>6</v>
      </c>
      <c r="G97" t="s">
        <v>2515</v>
      </c>
      <c r="H97" t="s">
        <v>1663</v>
      </c>
      <c r="I97" t="s">
        <v>1972</v>
      </c>
      <c r="J97" t="s">
        <v>2247</v>
      </c>
    </row>
    <row r="98" spans="2:10" x14ac:dyDescent="0.25">
      <c r="B98" t="s">
        <v>1979</v>
      </c>
      <c r="C98" t="s">
        <v>40</v>
      </c>
      <c r="D98" t="s">
        <v>41</v>
      </c>
      <c r="E98" t="s">
        <v>42</v>
      </c>
      <c r="F98">
        <v>3</v>
      </c>
      <c r="G98" t="s">
        <v>2514</v>
      </c>
      <c r="H98" t="s">
        <v>1627</v>
      </c>
      <c r="I98" t="s">
        <v>1972</v>
      </c>
      <c r="J98" t="s">
        <v>2247</v>
      </c>
    </row>
    <row r="99" spans="2:10" x14ac:dyDescent="0.25">
      <c r="B99" t="s">
        <v>1979</v>
      </c>
      <c r="C99" t="s">
        <v>40</v>
      </c>
      <c r="D99" t="s">
        <v>41</v>
      </c>
      <c r="E99" t="s">
        <v>42</v>
      </c>
      <c r="F99">
        <v>6</v>
      </c>
      <c r="G99" t="s">
        <v>2515</v>
      </c>
      <c r="H99" t="s">
        <v>1663</v>
      </c>
      <c r="I99" t="s">
        <v>1972</v>
      </c>
      <c r="J99" t="s">
        <v>2247</v>
      </c>
    </row>
    <row r="100" spans="2:10" x14ac:dyDescent="0.25">
      <c r="B100" t="s">
        <v>1979</v>
      </c>
      <c r="C100" t="s">
        <v>551</v>
      </c>
      <c r="D100" t="s">
        <v>552</v>
      </c>
      <c r="E100" t="s">
        <v>553</v>
      </c>
      <c r="F100">
        <v>80</v>
      </c>
      <c r="G100" t="s">
        <v>2301</v>
      </c>
      <c r="H100" t="s">
        <v>1681</v>
      </c>
      <c r="I100" t="s">
        <v>2300</v>
      </c>
      <c r="J100" t="s">
        <v>2247</v>
      </c>
    </row>
    <row r="101" spans="2:10" x14ac:dyDescent="0.25">
      <c r="B101" t="s">
        <v>1979</v>
      </c>
      <c r="C101" t="s">
        <v>551</v>
      </c>
      <c r="D101" t="s">
        <v>552</v>
      </c>
      <c r="E101" t="s">
        <v>553</v>
      </c>
      <c r="F101">
        <v>220</v>
      </c>
      <c r="G101" t="s">
        <v>2301</v>
      </c>
      <c r="H101" t="s">
        <v>1681</v>
      </c>
      <c r="I101" t="s">
        <v>2300</v>
      </c>
      <c r="J101" t="s">
        <v>2247</v>
      </c>
    </row>
    <row r="102" spans="2:10" x14ac:dyDescent="0.25">
      <c r="B102" t="s">
        <v>1979</v>
      </c>
      <c r="C102" t="s">
        <v>551</v>
      </c>
      <c r="D102" t="s">
        <v>1018</v>
      </c>
      <c r="E102" t="s">
        <v>1019</v>
      </c>
      <c r="F102">
        <v>700</v>
      </c>
      <c r="G102" t="s">
        <v>2301</v>
      </c>
      <c r="H102" t="s">
        <v>1681</v>
      </c>
      <c r="I102" t="s">
        <v>2300</v>
      </c>
      <c r="J102" t="s">
        <v>2247</v>
      </c>
    </row>
    <row r="103" spans="2:10" x14ac:dyDescent="0.25">
      <c r="B103" t="s">
        <v>1979</v>
      </c>
      <c r="C103" t="s">
        <v>623</v>
      </c>
      <c r="D103" t="s">
        <v>871</v>
      </c>
      <c r="E103" t="s">
        <v>872</v>
      </c>
      <c r="F103">
        <v>100</v>
      </c>
      <c r="G103" t="s">
        <v>2299</v>
      </c>
      <c r="H103" t="s">
        <v>1681</v>
      </c>
      <c r="I103" t="s">
        <v>2300</v>
      </c>
      <c r="J103" t="s">
        <v>2247</v>
      </c>
    </row>
    <row r="104" spans="2:10" x14ac:dyDescent="0.25">
      <c r="B104" t="s">
        <v>1979</v>
      </c>
      <c r="C104" t="s">
        <v>164</v>
      </c>
      <c r="D104" t="s">
        <v>169</v>
      </c>
      <c r="E104" t="s">
        <v>170</v>
      </c>
      <c r="F104">
        <v>40</v>
      </c>
      <c r="G104" t="s">
        <v>2302</v>
      </c>
      <c r="H104" t="s">
        <v>2110</v>
      </c>
      <c r="I104" t="s">
        <v>2303</v>
      </c>
      <c r="J104" t="s">
        <v>2247</v>
      </c>
    </row>
    <row r="105" spans="2:10" x14ac:dyDescent="0.25">
      <c r="B105" t="s">
        <v>1979</v>
      </c>
      <c r="C105" t="s">
        <v>164</v>
      </c>
      <c r="D105" t="s">
        <v>167</v>
      </c>
      <c r="E105" t="s">
        <v>168</v>
      </c>
      <c r="F105">
        <v>30</v>
      </c>
      <c r="G105" t="s">
        <v>2302</v>
      </c>
      <c r="H105" t="s">
        <v>2110</v>
      </c>
      <c r="I105" t="s">
        <v>2303</v>
      </c>
      <c r="J105" t="s">
        <v>2247</v>
      </c>
    </row>
    <row r="106" spans="2:10" x14ac:dyDescent="0.25">
      <c r="B106" t="s">
        <v>1979</v>
      </c>
      <c r="C106" t="s">
        <v>164</v>
      </c>
      <c r="D106" t="s">
        <v>400</v>
      </c>
      <c r="E106" t="s">
        <v>401</v>
      </c>
      <c r="F106">
        <v>60</v>
      </c>
      <c r="G106" t="s">
        <v>2302</v>
      </c>
      <c r="H106" t="s">
        <v>2110</v>
      </c>
      <c r="I106" t="s">
        <v>2303</v>
      </c>
      <c r="J106" t="s">
        <v>2247</v>
      </c>
    </row>
    <row r="107" spans="2:10" x14ac:dyDescent="0.25">
      <c r="B107" t="s">
        <v>1979</v>
      </c>
      <c r="C107" t="s">
        <v>164</v>
      </c>
      <c r="D107" t="s">
        <v>402</v>
      </c>
      <c r="E107" t="s">
        <v>403</v>
      </c>
      <c r="F107">
        <v>40</v>
      </c>
      <c r="G107" t="s">
        <v>2302</v>
      </c>
      <c r="H107" t="s">
        <v>2110</v>
      </c>
      <c r="I107" t="s">
        <v>2303</v>
      </c>
      <c r="J107" t="s">
        <v>2247</v>
      </c>
    </row>
    <row r="108" spans="2:10" x14ac:dyDescent="0.25">
      <c r="B108" t="s">
        <v>1979</v>
      </c>
      <c r="C108" t="s">
        <v>80</v>
      </c>
      <c r="D108" t="s">
        <v>240</v>
      </c>
      <c r="E108" t="s">
        <v>241</v>
      </c>
      <c r="F108">
        <v>80</v>
      </c>
      <c r="G108" t="s">
        <v>2304</v>
      </c>
      <c r="H108" t="s">
        <v>1773</v>
      </c>
      <c r="I108" t="s">
        <v>2246</v>
      </c>
      <c r="J108" t="s">
        <v>2247</v>
      </c>
    </row>
    <row r="109" spans="2:10" x14ac:dyDescent="0.25">
      <c r="B109" t="s">
        <v>1979</v>
      </c>
      <c r="C109" t="s">
        <v>80</v>
      </c>
      <c r="D109" t="s">
        <v>240</v>
      </c>
      <c r="E109" t="s">
        <v>241</v>
      </c>
      <c r="F109">
        <v>60</v>
      </c>
      <c r="G109" t="s">
        <v>2305</v>
      </c>
      <c r="H109" t="s">
        <v>1870</v>
      </c>
      <c r="I109" t="s">
        <v>2246</v>
      </c>
      <c r="J109" t="s">
        <v>2247</v>
      </c>
    </row>
    <row r="110" spans="2:10" x14ac:dyDescent="0.25">
      <c r="B110" t="s">
        <v>1979</v>
      </c>
      <c r="C110" t="s">
        <v>715</v>
      </c>
      <c r="D110" t="s">
        <v>716</v>
      </c>
      <c r="E110" t="s">
        <v>717</v>
      </c>
      <c r="F110">
        <v>1320</v>
      </c>
      <c r="G110" t="s">
        <v>2304</v>
      </c>
      <c r="H110" t="s">
        <v>1773</v>
      </c>
      <c r="I110" t="s">
        <v>2246</v>
      </c>
      <c r="J110" t="s">
        <v>2247</v>
      </c>
    </row>
    <row r="111" spans="2:10" x14ac:dyDescent="0.25">
      <c r="B111" t="s">
        <v>1979</v>
      </c>
      <c r="C111" t="s">
        <v>715</v>
      </c>
      <c r="D111" t="s">
        <v>716</v>
      </c>
      <c r="E111" t="s">
        <v>717</v>
      </c>
      <c r="F111">
        <v>2040</v>
      </c>
      <c r="G111" t="s">
        <v>2305</v>
      </c>
      <c r="H111" t="s">
        <v>1870</v>
      </c>
      <c r="I111" t="s">
        <v>2246</v>
      </c>
      <c r="J111" t="s">
        <v>2247</v>
      </c>
    </row>
    <row r="112" spans="2:10" x14ac:dyDescent="0.25">
      <c r="B112" t="s">
        <v>1979</v>
      </c>
      <c r="C112" t="s">
        <v>8</v>
      </c>
      <c r="D112" t="s">
        <v>605</v>
      </c>
      <c r="E112" t="s">
        <v>606</v>
      </c>
      <c r="F112">
        <v>3020</v>
      </c>
      <c r="G112" t="s">
        <v>2309</v>
      </c>
      <c r="H112" t="s">
        <v>1724</v>
      </c>
      <c r="I112" t="s">
        <v>1972</v>
      </c>
      <c r="J112" t="s">
        <v>2247</v>
      </c>
    </row>
    <row r="113" spans="2:10" x14ac:dyDescent="0.25">
      <c r="B113" t="s">
        <v>1979</v>
      </c>
      <c r="C113" t="s">
        <v>8</v>
      </c>
      <c r="D113" t="s">
        <v>605</v>
      </c>
      <c r="E113" t="s">
        <v>606</v>
      </c>
      <c r="F113">
        <v>460</v>
      </c>
      <c r="G113" t="s">
        <v>2309</v>
      </c>
      <c r="H113" t="s">
        <v>1724</v>
      </c>
      <c r="I113" t="s">
        <v>1972</v>
      </c>
      <c r="J113" t="s">
        <v>2247</v>
      </c>
    </row>
    <row r="114" spans="2:10" x14ac:dyDescent="0.25">
      <c r="B114" t="s">
        <v>1979</v>
      </c>
      <c r="C114" t="s">
        <v>8</v>
      </c>
      <c r="D114" t="s">
        <v>605</v>
      </c>
      <c r="E114" t="s">
        <v>606</v>
      </c>
      <c r="F114">
        <v>10000</v>
      </c>
      <c r="G114" t="s">
        <v>2309</v>
      </c>
      <c r="H114" t="s">
        <v>1724</v>
      </c>
      <c r="I114" t="s">
        <v>1972</v>
      </c>
      <c r="J114" t="s">
        <v>2247</v>
      </c>
    </row>
    <row r="115" spans="2:10" x14ac:dyDescent="0.25">
      <c r="B115" t="s">
        <v>1979</v>
      </c>
      <c r="C115" t="s">
        <v>8</v>
      </c>
      <c r="D115" t="s">
        <v>605</v>
      </c>
      <c r="E115" t="s">
        <v>606</v>
      </c>
      <c r="F115">
        <v>680</v>
      </c>
      <c r="G115" t="s">
        <v>2309</v>
      </c>
      <c r="H115" t="s">
        <v>1724</v>
      </c>
      <c r="I115" t="s">
        <v>1972</v>
      </c>
      <c r="J115" t="s">
        <v>2247</v>
      </c>
    </row>
    <row r="116" spans="2:10" x14ac:dyDescent="0.25">
      <c r="B116" t="s">
        <v>1979</v>
      </c>
      <c r="C116" t="s">
        <v>8</v>
      </c>
      <c r="D116" t="s">
        <v>605</v>
      </c>
      <c r="E116" t="s">
        <v>606</v>
      </c>
      <c r="F116">
        <v>6000</v>
      </c>
      <c r="G116" t="s">
        <v>2309</v>
      </c>
      <c r="H116" t="s">
        <v>1724</v>
      </c>
      <c r="I116" t="s">
        <v>1972</v>
      </c>
      <c r="J116" t="s">
        <v>2247</v>
      </c>
    </row>
    <row r="117" spans="2:10" x14ac:dyDescent="0.25">
      <c r="B117" t="s">
        <v>1979</v>
      </c>
      <c r="C117" t="s">
        <v>8</v>
      </c>
      <c r="D117" t="s">
        <v>605</v>
      </c>
      <c r="E117" t="s">
        <v>606</v>
      </c>
      <c r="F117">
        <v>9920</v>
      </c>
      <c r="G117" t="s">
        <v>2306</v>
      </c>
      <c r="H117" t="s">
        <v>1752</v>
      </c>
      <c r="I117" t="s">
        <v>1972</v>
      </c>
      <c r="J117" t="s">
        <v>2247</v>
      </c>
    </row>
    <row r="118" spans="2:10" x14ac:dyDescent="0.25">
      <c r="B118" t="s">
        <v>1979</v>
      </c>
      <c r="C118" t="s">
        <v>8</v>
      </c>
      <c r="D118" t="s">
        <v>605</v>
      </c>
      <c r="E118" t="s">
        <v>606</v>
      </c>
      <c r="F118">
        <v>3380</v>
      </c>
      <c r="G118" t="s">
        <v>2306</v>
      </c>
      <c r="H118" t="s">
        <v>1752</v>
      </c>
      <c r="I118" t="s">
        <v>1972</v>
      </c>
      <c r="J118" t="s">
        <v>2247</v>
      </c>
    </row>
    <row r="119" spans="2:10" x14ac:dyDescent="0.25">
      <c r="B119" t="s">
        <v>1979</v>
      </c>
      <c r="C119" t="s">
        <v>8</v>
      </c>
      <c r="D119" t="s">
        <v>605</v>
      </c>
      <c r="E119" t="s">
        <v>606</v>
      </c>
      <c r="F119">
        <v>10000</v>
      </c>
      <c r="G119" t="s">
        <v>2307</v>
      </c>
      <c r="H119" t="s">
        <v>1756</v>
      </c>
      <c r="I119" t="s">
        <v>1972</v>
      </c>
      <c r="J119" t="s">
        <v>2247</v>
      </c>
    </row>
    <row r="120" spans="2:10" x14ac:dyDescent="0.25">
      <c r="B120" t="s">
        <v>1979</v>
      </c>
      <c r="C120" t="s">
        <v>8</v>
      </c>
      <c r="D120" t="s">
        <v>605</v>
      </c>
      <c r="E120" t="s">
        <v>606</v>
      </c>
      <c r="F120">
        <v>3940</v>
      </c>
      <c r="G120" t="s">
        <v>2307</v>
      </c>
      <c r="H120" t="s">
        <v>1756</v>
      </c>
      <c r="I120" t="s">
        <v>1972</v>
      </c>
      <c r="J120" t="s">
        <v>2247</v>
      </c>
    </row>
    <row r="121" spans="2:10" x14ac:dyDescent="0.25">
      <c r="B121" t="s">
        <v>1979</v>
      </c>
      <c r="C121" t="s">
        <v>8</v>
      </c>
      <c r="D121" t="s">
        <v>605</v>
      </c>
      <c r="E121" t="s">
        <v>606</v>
      </c>
      <c r="F121">
        <v>6220</v>
      </c>
      <c r="G121" t="s">
        <v>2307</v>
      </c>
      <c r="H121" t="s">
        <v>1756</v>
      </c>
      <c r="I121" t="s">
        <v>1972</v>
      </c>
      <c r="J121" t="s">
        <v>2247</v>
      </c>
    </row>
    <row r="122" spans="2:10" x14ac:dyDescent="0.25">
      <c r="B122" t="s">
        <v>1979</v>
      </c>
      <c r="C122" t="s">
        <v>8</v>
      </c>
      <c r="D122" t="s">
        <v>605</v>
      </c>
      <c r="E122" t="s">
        <v>606</v>
      </c>
      <c r="F122">
        <v>6860</v>
      </c>
      <c r="G122" t="s">
        <v>2306</v>
      </c>
      <c r="H122" t="s">
        <v>1752</v>
      </c>
      <c r="I122" t="s">
        <v>1972</v>
      </c>
      <c r="J122" t="s">
        <v>2247</v>
      </c>
    </row>
    <row r="123" spans="2:10" x14ac:dyDescent="0.25">
      <c r="B123" t="s">
        <v>1979</v>
      </c>
      <c r="C123" t="s">
        <v>8</v>
      </c>
      <c r="D123" t="s">
        <v>605</v>
      </c>
      <c r="E123" t="s">
        <v>606</v>
      </c>
      <c r="F123">
        <v>560</v>
      </c>
      <c r="G123" t="s">
        <v>2308</v>
      </c>
      <c r="H123" t="s">
        <v>1786</v>
      </c>
      <c r="I123" t="s">
        <v>1972</v>
      </c>
      <c r="J123" t="s">
        <v>2247</v>
      </c>
    </row>
    <row r="124" spans="2:10" x14ac:dyDescent="0.25">
      <c r="B124" t="s">
        <v>1979</v>
      </c>
      <c r="C124" t="s">
        <v>8</v>
      </c>
      <c r="D124" t="s">
        <v>605</v>
      </c>
      <c r="E124" t="s">
        <v>606</v>
      </c>
      <c r="F124">
        <v>5640</v>
      </c>
      <c r="G124" t="s">
        <v>2308</v>
      </c>
      <c r="H124" t="s">
        <v>1786</v>
      </c>
      <c r="I124" t="s">
        <v>1972</v>
      </c>
      <c r="J124" t="s">
        <v>2247</v>
      </c>
    </row>
    <row r="125" spans="2:10" x14ac:dyDescent="0.25">
      <c r="B125" t="s">
        <v>1979</v>
      </c>
      <c r="C125" t="s">
        <v>8</v>
      </c>
      <c r="D125" t="s">
        <v>605</v>
      </c>
      <c r="E125" t="s">
        <v>606</v>
      </c>
      <c r="F125">
        <v>9300</v>
      </c>
      <c r="G125" t="s">
        <v>2308</v>
      </c>
      <c r="H125" t="s">
        <v>1786</v>
      </c>
      <c r="I125" t="s">
        <v>1972</v>
      </c>
      <c r="J125" t="s">
        <v>2247</v>
      </c>
    </row>
    <row r="126" spans="2:10" x14ac:dyDescent="0.25">
      <c r="B126" t="s">
        <v>1979</v>
      </c>
      <c r="C126" t="s">
        <v>8</v>
      </c>
      <c r="D126" t="s">
        <v>605</v>
      </c>
      <c r="E126" t="s">
        <v>606</v>
      </c>
      <c r="F126">
        <v>3780</v>
      </c>
      <c r="G126" t="s">
        <v>2308</v>
      </c>
      <c r="H126" t="s">
        <v>1786</v>
      </c>
      <c r="I126" t="s">
        <v>1972</v>
      </c>
      <c r="J126" t="s">
        <v>2247</v>
      </c>
    </row>
    <row r="127" spans="2:10" x14ac:dyDescent="0.25">
      <c r="B127" t="s">
        <v>1979</v>
      </c>
      <c r="C127" t="s">
        <v>8</v>
      </c>
      <c r="D127" t="s">
        <v>605</v>
      </c>
      <c r="E127" t="s">
        <v>606</v>
      </c>
      <c r="F127">
        <v>160</v>
      </c>
      <c r="G127" t="s">
        <v>2310</v>
      </c>
      <c r="H127" t="s">
        <v>1694</v>
      </c>
      <c r="I127" t="s">
        <v>1972</v>
      </c>
      <c r="J127" t="s">
        <v>2247</v>
      </c>
    </row>
    <row r="128" spans="2:10" x14ac:dyDescent="0.25">
      <c r="B128" t="s">
        <v>1979</v>
      </c>
      <c r="C128" t="s">
        <v>8</v>
      </c>
      <c r="D128" t="s">
        <v>605</v>
      </c>
      <c r="E128" t="s">
        <v>606</v>
      </c>
      <c r="F128">
        <v>10000</v>
      </c>
      <c r="G128" t="s">
        <v>2310</v>
      </c>
      <c r="H128" t="s">
        <v>1694</v>
      </c>
      <c r="I128" t="s">
        <v>1972</v>
      </c>
      <c r="J128" t="s">
        <v>2247</v>
      </c>
    </row>
    <row r="129" spans="2:10" x14ac:dyDescent="0.25">
      <c r="B129" t="s">
        <v>1979</v>
      </c>
      <c r="C129" t="s">
        <v>8</v>
      </c>
      <c r="D129" t="s">
        <v>605</v>
      </c>
      <c r="E129" t="s">
        <v>606</v>
      </c>
      <c r="F129">
        <v>20</v>
      </c>
      <c r="G129" t="s">
        <v>2312</v>
      </c>
      <c r="H129" t="s">
        <v>1751</v>
      </c>
      <c r="I129" t="s">
        <v>1972</v>
      </c>
      <c r="J129" t="s">
        <v>2247</v>
      </c>
    </row>
    <row r="130" spans="2:10" x14ac:dyDescent="0.25">
      <c r="B130" t="s">
        <v>1979</v>
      </c>
      <c r="C130" t="s">
        <v>8</v>
      </c>
      <c r="D130" t="s">
        <v>605</v>
      </c>
      <c r="E130" t="s">
        <v>606</v>
      </c>
      <c r="F130">
        <v>3420</v>
      </c>
      <c r="G130" t="s">
        <v>2312</v>
      </c>
      <c r="H130" t="s">
        <v>1751</v>
      </c>
      <c r="I130" t="s">
        <v>1972</v>
      </c>
      <c r="J130" t="s">
        <v>2247</v>
      </c>
    </row>
    <row r="131" spans="2:10" x14ac:dyDescent="0.25">
      <c r="B131" t="s">
        <v>1979</v>
      </c>
      <c r="C131" t="s">
        <v>8</v>
      </c>
      <c r="D131" t="s">
        <v>605</v>
      </c>
      <c r="E131" t="s">
        <v>606</v>
      </c>
      <c r="F131">
        <v>12020</v>
      </c>
      <c r="G131" t="s">
        <v>2312</v>
      </c>
      <c r="H131" t="s">
        <v>1751</v>
      </c>
      <c r="I131" t="s">
        <v>1972</v>
      </c>
      <c r="J131" t="s">
        <v>2247</v>
      </c>
    </row>
    <row r="132" spans="2:10" x14ac:dyDescent="0.25">
      <c r="B132" t="s">
        <v>1979</v>
      </c>
      <c r="C132" t="s">
        <v>8</v>
      </c>
      <c r="D132" t="s">
        <v>605</v>
      </c>
      <c r="E132" t="s">
        <v>606</v>
      </c>
      <c r="F132">
        <v>4700</v>
      </c>
      <c r="G132" t="s">
        <v>2312</v>
      </c>
      <c r="H132" t="s">
        <v>1751</v>
      </c>
      <c r="I132" t="s">
        <v>1972</v>
      </c>
      <c r="J132" t="s">
        <v>2247</v>
      </c>
    </row>
    <row r="133" spans="2:10" x14ac:dyDescent="0.25">
      <c r="B133" t="s">
        <v>1979</v>
      </c>
      <c r="C133" t="s">
        <v>8</v>
      </c>
      <c r="D133" t="s">
        <v>605</v>
      </c>
      <c r="E133" t="s">
        <v>606</v>
      </c>
      <c r="F133">
        <v>9820</v>
      </c>
      <c r="G133" t="s">
        <v>2311</v>
      </c>
      <c r="H133" t="s">
        <v>1826</v>
      </c>
      <c r="I133" t="s">
        <v>1972</v>
      </c>
      <c r="J133" t="s">
        <v>2247</v>
      </c>
    </row>
    <row r="134" spans="2:10" x14ac:dyDescent="0.25">
      <c r="B134" t="s">
        <v>1979</v>
      </c>
      <c r="C134" t="s">
        <v>8</v>
      </c>
      <c r="D134" t="s">
        <v>605</v>
      </c>
      <c r="E134" t="s">
        <v>606</v>
      </c>
      <c r="F134">
        <v>10000</v>
      </c>
      <c r="G134" t="s">
        <v>2310</v>
      </c>
      <c r="H134" t="s">
        <v>1694</v>
      </c>
      <c r="I134" t="s">
        <v>1972</v>
      </c>
      <c r="J134" t="s">
        <v>2247</v>
      </c>
    </row>
    <row r="135" spans="2:10" x14ac:dyDescent="0.25">
      <c r="B135" t="s">
        <v>1979</v>
      </c>
      <c r="C135" t="s">
        <v>8</v>
      </c>
      <c r="D135" t="s">
        <v>605</v>
      </c>
      <c r="E135" t="s">
        <v>606</v>
      </c>
      <c r="F135">
        <v>4200</v>
      </c>
      <c r="G135" t="s">
        <v>2311</v>
      </c>
      <c r="H135" t="s">
        <v>1826</v>
      </c>
      <c r="I135" t="s">
        <v>1972</v>
      </c>
      <c r="J135" t="s">
        <v>2247</v>
      </c>
    </row>
    <row r="136" spans="2:10" x14ac:dyDescent="0.25">
      <c r="B136" t="s">
        <v>1979</v>
      </c>
      <c r="C136" t="s">
        <v>8</v>
      </c>
      <c r="D136" t="s">
        <v>605</v>
      </c>
      <c r="E136" t="s">
        <v>606</v>
      </c>
      <c r="F136">
        <v>6140</v>
      </c>
      <c r="G136" t="s">
        <v>2311</v>
      </c>
      <c r="H136" t="s">
        <v>1826</v>
      </c>
      <c r="I136" t="s">
        <v>1972</v>
      </c>
      <c r="J136" t="s">
        <v>2247</v>
      </c>
    </row>
    <row r="137" spans="2:10" x14ac:dyDescent="0.25">
      <c r="B137" t="s">
        <v>1979</v>
      </c>
      <c r="C137" t="s">
        <v>8</v>
      </c>
      <c r="D137" t="s">
        <v>605</v>
      </c>
      <c r="E137" t="s">
        <v>606</v>
      </c>
      <c r="F137">
        <v>5300</v>
      </c>
      <c r="G137" t="s">
        <v>2313</v>
      </c>
      <c r="H137" t="s">
        <v>1751</v>
      </c>
      <c r="I137" t="s">
        <v>1972</v>
      </c>
      <c r="J137" t="s">
        <v>2247</v>
      </c>
    </row>
    <row r="138" spans="2:10" x14ac:dyDescent="0.25">
      <c r="B138" t="s">
        <v>1979</v>
      </c>
      <c r="C138" t="s">
        <v>8</v>
      </c>
      <c r="D138" t="s">
        <v>605</v>
      </c>
      <c r="E138" t="s">
        <v>606</v>
      </c>
      <c r="F138">
        <v>10000</v>
      </c>
      <c r="G138" t="s">
        <v>2313</v>
      </c>
      <c r="H138" t="s">
        <v>1751</v>
      </c>
      <c r="I138" t="s">
        <v>1972</v>
      </c>
      <c r="J138" t="s">
        <v>2247</v>
      </c>
    </row>
    <row r="139" spans="2:10" x14ac:dyDescent="0.25">
      <c r="B139" t="s">
        <v>1979</v>
      </c>
      <c r="C139" t="s">
        <v>8</v>
      </c>
      <c r="D139" t="s">
        <v>605</v>
      </c>
      <c r="E139" t="s">
        <v>606</v>
      </c>
      <c r="F139">
        <v>3420</v>
      </c>
      <c r="G139" t="s">
        <v>2313</v>
      </c>
      <c r="H139" t="s">
        <v>1751</v>
      </c>
      <c r="I139" t="s">
        <v>1972</v>
      </c>
      <c r="J139" t="s">
        <v>2247</v>
      </c>
    </row>
    <row r="140" spans="2:10" x14ac:dyDescent="0.25">
      <c r="B140" t="s">
        <v>1979</v>
      </c>
      <c r="C140" t="s">
        <v>8</v>
      </c>
      <c r="D140" t="s">
        <v>605</v>
      </c>
      <c r="E140" t="s">
        <v>606</v>
      </c>
      <c r="F140">
        <v>9860</v>
      </c>
      <c r="G140" t="s">
        <v>2314</v>
      </c>
      <c r="H140" t="s">
        <v>1751</v>
      </c>
      <c r="I140" t="s">
        <v>1972</v>
      </c>
      <c r="J140" t="s">
        <v>2247</v>
      </c>
    </row>
    <row r="141" spans="2:10" x14ac:dyDescent="0.25">
      <c r="B141" t="s">
        <v>1979</v>
      </c>
      <c r="C141" t="s">
        <v>8</v>
      </c>
      <c r="D141" t="s">
        <v>605</v>
      </c>
      <c r="E141" t="s">
        <v>606</v>
      </c>
      <c r="F141">
        <v>7000</v>
      </c>
      <c r="G141" t="s">
        <v>2314</v>
      </c>
      <c r="H141" t="s">
        <v>1751</v>
      </c>
      <c r="I141" t="s">
        <v>1972</v>
      </c>
      <c r="J141" t="s">
        <v>2247</v>
      </c>
    </row>
    <row r="142" spans="2:10" x14ac:dyDescent="0.25">
      <c r="B142" t="s">
        <v>1979</v>
      </c>
      <c r="C142" t="s">
        <v>8</v>
      </c>
      <c r="D142" t="s">
        <v>605</v>
      </c>
      <c r="E142" t="s">
        <v>606</v>
      </c>
      <c r="F142">
        <v>3300</v>
      </c>
      <c r="G142" t="s">
        <v>2314</v>
      </c>
      <c r="H142" t="s">
        <v>1751</v>
      </c>
      <c r="I142" t="s">
        <v>1972</v>
      </c>
      <c r="J142" t="s">
        <v>2247</v>
      </c>
    </row>
    <row r="143" spans="2:10" x14ac:dyDescent="0.25">
      <c r="B143" t="s">
        <v>1979</v>
      </c>
      <c r="C143" t="s">
        <v>8</v>
      </c>
      <c r="D143" t="s">
        <v>605</v>
      </c>
      <c r="E143" t="s">
        <v>606</v>
      </c>
      <c r="F143">
        <v>1440</v>
      </c>
      <c r="G143" t="s">
        <v>2315</v>
      </c>
      <c r="H143" t="s">
        <v>1731</v>
      </c>
      <c r="I143" t="s">
        <v>1972</v>
      </c>
      <c r="J143" t="s">
        <v>2247</v>
      </c>
    </row>
    <row r="144" spans="2:10" x14ac:dyDescent="0.25">
      <c r="B144" t="s">
        <v>1979</v>
      </c>
      <c r="C144" t="s">
        <v>8</v>
      </c>
      <c r="D144" t="s">
        <v>605</v>
      </c>
      <c r="E144" t="s">
        <v>606</v>
      </c>
      <c r="F144">
        <v>10320</v>
      </c>
      <c r="G144" t="s">
        <v>2315</v>
      </c>
      <c r="H144" t="s">
        <v>1731</v>
      </c>
      <c r="I144" t="s">
        <v>1972</v>
      </c>
      <c r="J144" t="s">
        <v>2247</v>
      </c>
    </row>
    <row r="145" spans="2:10" x14ac:dyDescent="0.25">
      <c r="B145" t="s">
        <v>1979</v>
      </c>
      <c r="C145" t="s">
        <v>8</v>
      </c>
      <c r="D145" t="s">
        <v>605</v>
      </c>
      <c r="E145" t="s">
        <v>606</v>
      </c>
      <c r="F145">
        <v>6220</v>
      </c>
      <c r="G145" t="s">
        <v>2315</v>
      </c>
      <c r="H145" t="s">
        <v>1731</v>
      </c>
      <c r="I145" t="s">
        <v>1972</v>
      </c>
      <c r="J145" t="s">
        <v>2247</v>
      </c>
    </row>
    <row r="146" spans="2:10" x14ac:dyDescent="0.25">
      <c r="B146" t="s">
        <v>1979</v>
      </c>
      <c r="C146" t="s">
        <v>8</v>
      </c>
      <c r="D146" t="s">
        <v>605</v>
      </c>
      <c r="E146" t="s">
        <v>606</v>
      </c>
      <c r="F146">
        <v>500</v>
      </c>
      <c r="G146" t="s">
        <v>2315</v>
      </c>
      <c r="H146" t="s">
        <v>1731</v>
      </c>
      <c r="I146" t="s">
        <v>1972</v>
      </c>
      <c r="J146" t="s">
        <v>2247</v>
      </c>
    </row>
    <row r="147" spans="2:10" x14ac:dyDescent="0.25">
      <c r="B147" t="s">
        <v>1979</v>
      </c>
      <c r="C147" t="s">
        <v>8</v>
      </c>
      <c r="D147" t="s">
        <v>605</v>
      </c>
      <c r="E147" t="s">
        <v>606</v>
      </c>
      <c r="F147">
        <v>10080</v>
      </c>
      <c r="G147" t="s">
        <v>2316</v>
      </c>
      <c r="H147" t="s">
        <v>1793</v>
      </c>
      <c r="I147" t="s">
        <v>1972</v>
      </c>
      <c r="J147" t="s">
        <v>2247</v>
      </c>
    </row>
    <row r="148" spans="2:10" x14ac:dyDescent="0.25">
      <c r="B148" t="s">
        <v>1979</v>
      </c>
      <c r="C148" t="s">
        <v>8</v>
      </c>
      <c r="D148" t="s">
        <v>605</v>
      </c>
      <c r="E148" t="s">
        <v>606</v>
      </c>
      <c r="F148">
        <v>3600</v>
      </c>
      <c r="G148" t="s">
        <v>2316</v>
      </c>
      <c r="H148" t="s">
        <v>1793</v>
      </c>
      <c r="I148" t="s">
        <v>1972</v>
      </c>
      <c r="J148" t="s">
        <v>2247</v>
      </c>
    </row>
    <row r="149" spans="2:10" x14ac:dyDescent="0.25">
      <c r="B149" t="s">
        <v>1979</v>
      </c>
      <c r="C149" t="s">
        <v>8</v>
      </c>
      <c r="D149" t="s">
        <v>605</v>
      </c>
      <c r="E149" t="s">
        <v>606</v>
      </c>
      <c r="F149">
        <v>4240</v>
      </c>
      <c r="G149" t="s">
        <v>2316</v>
      </c>
      <c r="H149" t="s">
        <v>1793</v>
      </c>
      <c r="I149" t="s">
        <v>1972</v>
      </c>
      <c r="J149" t="s">
        <v>2247</v>
      </c>
    </row>
    <row r="150" spans="2:10" x14ac:dyDescent="0.25">
      <c r="B150" t="s">
        <v>1979</v>
      </c>
      <c r="C150" t="s">
        <v>8</v>
      </c>
      <c r="D150" t="s">
        <v>605</v>
      </c>
      <c r="E150" t="s">
        <v>606</v>
      </c>
      <c r="F150">
        <v>5560</v>
      </c>
      <c r="G150" t="s">
        <v>2317</v>
      </c>
      <c r="H150" t="s">
        <v>1605</v>
      </c>
      <c r="I150" t="s">
        <v>1972</v>
      </c>
      <c r="J150" t="s">
        <v>2247</v>
      </c>
    </row>
    <row r="151" spans="2:10" x14ac:dyDescent="0.25">
      <c r="B151" t="s">
        <v>1979</v>
      </c>
      <c r="C151" t="s">
        <v>8</v>
      </c>
      <c r="D151" t="s">
        <v>605</v>
      </c>
      <c r="E151" t="s">
        <v>606</v>
      </c>
      <c r="F151">
        <v>10000</v>
      </c>
      <c r="G151" t="s">
        <v>2317</v>
      </c>
      <c r="H151" t="s">
        <v>1605</v>
      </c>
      <c r="I151" t="s">
        <v>1972</v>
      </c>
      <c r="J151" t="s">
        <v>2247</v>
      </c>
    </row>
    <row r="152" spans="2:10" x14ac:dyDescent="0.25">
      <c r="B152" t="s">
        <v>1979</v>
      </c>
      <c r="C152" t="s">
        <v>8</v>
      </c>
      <c r="D152" t="s">
        <v>605</v>
      </c>
      <c r="E152" t="s">
        <v>606</v>
      </c>
      <c r="F152">
        <v>2920</v>
      </c>
      <c r="G152" t="s">
        <v>2317</v>
      </c>
      <c r="H152" t="s">
        <v>1605</v>
      </c>
      <c r="I152" t="s">
        <v>1972</v>
      </c>
      <c r="J152" t="s">
        <v>2247</v>
      </c>
    </row>
    <row r="153" spans="2:10" x14ac:dyDescent="0.25">
      <c r="B153" t="s">
        <v>1979</v>
      </c>
      <c r="C153" t="s">
        <v>8</v>
      </c>
      <c r="D153" t="s">
        <v>605</v>
      </c>
      <c r="E153" t="s">
        <v>606</v>
      </c>
      <c r="F153">
        <v>7360</v>
      </c>
      <c r="G153" t="s">
        <v>2318</v>
      </c>
      <c r="H153" t="s">
        <v>1724</v>
      </c>
      <c r="I153" t="s">
        <v>1972</v>
      </c>
      <c r="J153" t="s">
        <v>2247</v>
      </c>
    </row>
    <row r="154" spans="2:10" x14ac:dyDescent="0.25">
      <c r="B154" t="s">
        <v>1979</v>
      </c>
      <c r="C154" t="s">
        <v>8</v>
      </c>
      <c r="D154" t="s">
        <v>605</v>
      </c>
      <c r="E154" t="s">
        <v>606</v>
      </c>
      <c r="F154">
        <v>9800</v>
      </c>
      <c r="G154" t="s">
        <v>2318</v>
      </c>
      <c r="H154" t="s">
        <v>1724</v>
      </c>
      <c r="I154" t="s">
        <v>1972</v>
      </c>
      <c r="J154" t="s">
        <v>2247</v>
      </c>
    </row>
    <row r="155" spans="2:10" x14ac:dyDescent="0.25">
      <c r="B155" t="s">
        <v>1979</v>
      </c>
      <c r="C155" t="s">
        <v>8</v>
      </c>
      <c r="D155" t="s">
        <v>605</v>
      </c>
      <c r="E155" t="s">
        <v>606</v>
      </c>
      <c r="F155">
        <v>1320</v>
      </c>
      <c r="G155" t="s">
        <v>2318</v>
      </c>
      <c r="H155" t="s">
        <v>1724</v>
      </c>
      <c r="I155" t="s">
        <v>1972</v>
      </c>
      <c r="J155" t="s">
        <v>2247</v>
      </c>
    </row>
    <row r="156" spans="2:10" x14ac:dyDescent="0.25">
      <c r="B156" t="s">
        <v>1979</v>
      </c>
      <c r="C156" t="s">
        <v>8</v>
      </c>
      <c r="D156" t="s">
        <v>605</v>
      </c>
      <c r="E156" t="s">
        <v>606</v>
      </c>
      <c r="F156">
        <v>10000</v>
      </c>
      <c r="G156" t="s">
        <v>2319</v>
      </c>
      <c r="H156" t="s">
        <v>1724</v>
      </c>
      <c r="I156" t="s">
        <v>1972</v>
      </c>
      <c r="J156" t="s">
        <v>2247</v>
      </c>
    </row>
    <row r="157" spans="2:10" x14ac:dyDescent="0.25">
      <c r="B157" t="s">
        <v>1979</v>
      </c>
      <c r="C157" t="s">
        <v>8</v>
      </c>
      <c r="D157" t="s">
        <v>605</v>
      </c>
      <c r="E157" t="s">
        <v>606</v>
      </c>
      <c r="F157">
        <v>9980</v>
      </c>
      <c r="G157" t="s">
        <v>2319</v>
      </c>
      <c r="H157" t="s">
        <v>1724</v>
      </c>
      <c r="I157" t="s">
        <v>1972</v>
      </c>
      <c r="J157" t="s">
        <v>2247</v>
      </c>
    </row>
    <row r="158" spans="2:10" x14ac:dyDescent="0.25">
      <c r="B158" t="s">
        <v>1979</v>
      </c>
      <c r="C158" t="s">
        <v>8</v>
      </c>
      <c r="D158" t="s">
        <v>605</v>
      </c>
      <c r="E158" t="s">
        <v>606</v>
      </c>
      <c r="F158">
        <v>180</v>
      </c>
      <c r="G158" t="s">
        <v>2319</v>
      </c>
      <c r="H158" t="s">
        <v>1724</v>
      </c>
      <c r="I158" t="s">
        <v>1972</v>
      </c>
      <c r="J158" t="s">
        <v>2247</v>
      </c>
    </row>
    <row r="159" spans="2:10" x14ac:dyDescent="0.25">
      <c r="B159" t="s">
        <v>1979</v>
      </c>
      <c r="C159" t="s">
        <v>8</v>
      </c>
      <c r="D159" t="s">
        <v>605</v>
      </c>
      <c r="E159" t="s">
        <v>606</v>
      </c>
      <c r="F159">
        <v>10000</v>
      </c>
      <c r="G159" t="s">
        <v>2320</v>
      </c>
      <c r="H159" t="s">
        <v>1826</v>
      </c>
      <c r="I159" t="s">
        <v>1972</v>
      </c>
      <c r="J159" t="s">
        <v>2247</v>
      </c>
    </row>
    <row r="160" spans="2:10" x14ac:dyDescent="0.25">
      <c r="B160" t="s">
        <v>1979</v>
      </c>
      <c r="C160" t="s">
        <v>8</v>
      </c>
      <c r="D160" t="s">
        <v>605</v>
      </c>
      <c r="E160" t="s">
        <v>606</v>
      </c>
      <c r="F160">
        <v>6980</v>
      </c>
      <c r="G160" t="s">
        <v>2320</v>
      </c>
      <c r="H160" t="s">
        <v>1826</v>
      </c>
      <c r="I160" t="s">
        <v>1972</v>
      </c>
      <c r="J160" t="s">
        <v>2247</v>
      </c>
    </row>
    <row r="161" spans="2:10" x14ac:dyDescent="0.25">
      <c r="B161" t="s">
        <v>1979</v>
      </c>
      <c r="C161" t="s">
        <v>8</v>
      </c>
      <c r="D161" t="s">
        <v>605</v>
      </c>
      <c r="E161" t="s">
        <v>606</v>
      </c>
      <c r="F161">
        <v>1500</v>
      </c>
      <c r="G161" t="s">
        <v>2320</v>
      </c>
      <c r="H161" t="s">
        <v>1826</v>
      </c>
      <c r="I161" t="s">
        <v>1972</v>
      </c>
      <c r="J161" t="s">
        <v>2247</v>
      </c>
    </row>
    <row r="162" spans="2:10" x14ac:dyDescent="0.25">
      <c r="B162" t="s">
        <v>1979</v>
      </c>
      <c r="C162" t="s">
        <v>8</v>
      </c>
      <c r="D162" t="s">
        <v>605</v>
      </c>
      <c r="E162" t="s">
        <v>606</v>
      </c>
      <c r="F162">
        <v>6620</v>
      </c>
      <c r="G162" t="s">
        <v>2321</v>
      </c>
      <c r="H162" t="s">
        <v>1718</v>
      </c>
      <c r="I162" t="s">
        <v>1972</v>
      </c>
      <c r="J162" t="s">
        <v>2247</v>
      </c>
    </row>
    <row r="163" spans="2:10" x14ac:dyDescent="0.25">
      <c r="B163" t="s">
        <v>1979</v>
      </c>
      <c r="C163" t="s">
        <v>8</v>
      </c>
      <c r="D163" t="s">
        <v>605</v>
      </c>
      <c r="E163" t="s">
        <v>606</v>
      </c>
      <c r="F163">
        <v>10000</v>
      </c>
      <c r="G163" t="s">
        <v>2321</v>
      </c>
      <c r="H163" t="s">
        <v>1718</v>
      </c>
      <c r="I163" t="s">
        <v>1972</v>
      </c>
      <c r="J163" t="s">
        <v>2247</v>
      </c>
    </row>
    <row r="164" spans="2:10" x14ac:dyDescent="0.25">
      <c r="B164" t="s">
        <v>1979</v>
      </c>
      <c r="C164" t="s">
        <v>8</v>
      </c>
      <c r="D164" t="s">
        <v>605</v>
      </c>
      <c r="E164" t="s">
        <v>606</v>
      </c>
      <c r="F164">
        <v>3540</v>
      </c>
      <c r="G164" t="s">
        <v>2321</v>
      </c>
      <c r="H164" t="s">
        <v>1718</v>
      </c>
      <c r="I164" t="s">
        <v>1972</v>
      </c>
      <c r="J164" t="s">
        <v>2247</v>
      </c>
    </row>
    <row r="165" spans="2:10" x14ac:dyDescent="0.25">
      <c r="B165" t="s">
        <v>1979</v>
      </c>
      <c r="C165" t="s">
        <v>164</v>
      </c>
      <c r="D165" t="s">
        <v>169</v>
      </c>
      <c r="E165" t="s">
        <v>170</v>
      </c>
      <c r="F165">
        <v>15</v>
      </c>
      <c r="G165" t="s">
        <v>2322</v>
      </c>
      <c r="H165" t="s">
        <v>1694</v>
      </c>
      <c r="I165" t="s">
        <v>1973</v>
      </c>
      <c r="J165" t="s">
        <v>2247</v>
      </c>
    </row>
    <row r="166" spans="2:10" x14ac:dyDescent="0.25">
      <c r="B166" t="s">
        <v>1979</v>
      </c>
      <c r="C166" t="s">
        <v>20</v>
      </c>
      <c r="D166" t="s">
        <v>459</v>
      </c>
      <c r="E166" t="s">
        <v>460</v>
      </c>
      <c r="F166">
        <v>100</v>
      </c>
      <c r="G166" t="s">
        <v>2326</v>
      </c>
      <c r="H166" t="s">
        <v>1681</v>
      </c>
      <c r="I166" t="s">
        <v>2300</v>
      </c>
      <c r="J166" t="s">
        <v>2247</v>
      </c>
    </row>
    <row r="167" spans="2:10" x14ac:dyDescent="0.25">
      <c r="B167" t="s">
        <v>1979</v>
      </c>
      <c r="C167" t="s">
        <v>20</v>
      </c>
      <c r="D167" t="s">
        <v>1003</v>
      </c>
      <c r="E167" t="s">
        <v>1004</v>
      </c>
      <c r="F167">
        <v>40</v>
      </c>
      <c r="G167" t="s">
        <v>2326</v>
      </c>
      <c r="H167" t="s">
        <v>1681</v>
      </c>
      <c r="I167" t="s">
        <v>2300</v>
      </c>
      <c r="J167" t="s">
        <v>2247</v>
      </c>
    </row>
    <row r="168" spans="2:10" x14ac:dyDescent="0.25">
      <c r="B168" t="s">
        <v>1979</v>
      </c>
      <c r="C168" t="s">
        <v>20</v>
      </c>
      <c r="D168" t="s">
        <v>459</v>
      </c>
      <c r="E168" t="s">
        <v>460</v>
      </c>
      <c r="F168">
        <v>100</v>
      </c>
      <c r="G168" t="s">
        <v>2323</v>
      </c>
      <c r="H168" t="s">
        <v>1627</v>
      </c>
      <c r="I168" t="s">
        <v>2300</v>
      </c>
      <c r="J168" t="s">
        <v>2247</v>
      </c>
    </row>
    <row r="169" spans="2:10" x14ac:dyDescent="0.25">
      <c r="B169" t="s">
        <v>1979</v>
      </c>
      <c r="C169" t="s">
        <v>521</v>
      </c>
      <c r="D169" t="s">
        <v>1206</v>
      </c>
      <c r="E169" t="s">
        <v>1207</v>
      </c>
      <c r="F169">
        <v>24</v>
      </c>
      <c r="G169" t="s">
        <v>2326</v>
      </c>
      <c r="H169" t="s">
        <v>1681</v>
      </c>
      <c r="I169" t="s">
        <v>2300</v>
      </c>
      <c r="J169" t="s">
        <v>2247</v>
      </c>
    </row>
    <row r="170" spans="2:10" x14ac:dyDescent="0.25">
      <c r="B170" t="s">
        <v>1979</v>
      </c>
      <c r="C170" t="s">
        <v>521</v>
      </c>
      <c r="D170" t="s">
        <v>821</v>
      </c>
      <c r="E170" t="s">
        <v>822</v>
      </c>
      <c r="F170">
        <v>5</v>
      </c>
      <c r="G170" t="s">
        <v>2325</v>
      </c>
      <c r="H170" t="s">
        <v>1736</v>
      </c>
      <c r="I170" t="s">
        <v>2300</v>
      </c>
      <c r="J170" t="s">
        <v>2247</v>
      </c>
    </row>
    <row r="171" spans="2:10" x14ac:dyDescent="0.25">
      <c r="B171" t="s">
        <v>1979</v>
      </c>
      <c r="C171" t="s">
        <v>521</v>
      </c>
      <c r="D171" t="s">
        <v>821</v>
      </c>
      <c r="E171" t="s">
        <v>822</v>
      </c>
      <c r="F171">
        <v>5</v>
      </c>
      <c r="G171" t="s">
        <v>2325</v>
      </c>
      <c r="H171" t="s">
        <v>1736</v>
      </c>
      <c r="I171" t="s">
        <v>2300</v>
      </c>
      <c r="J171" t="s">
        <v>2247</v>
      </c>
    </row>
    <row r="172" spans="2:10" x14ac:dyDescent="0.25">
      <c r="B172" t="s">
        <v>1979</v>
      </c>
      <c r="C172" t="s">
        <v>521</v>
      </c>
      <c r="D172" t="s">
        <v>821</v>
      </c>
      <c r="E172" t="s">
        <v>822</v>
      </c>
      <c r="F172">
        <v>50</v>
      </c>
      <c r="G172" t="s">
        <v>2325</v>
      </c>
      <c r="H172" t="s">
        <v>1736</v>
      </c>
      <c r="I172" t="s">
        <v>2300</v>
      </c>
      <c r="J172" t="s">
        <v>2247</v>
      </c>
    </row>
    <row r="173" spans="2:10" x14ac:dyDescent="0.25">
      <c r="B173" t="s">
        <v>1979</v>
      </c>
      <c r="C173" t="s">
        <v>521</v>
      </c>
      <c r="D173" t="s">
        <v>821</v>
      </c>
      <c r="E173" t="s">
        <v>822</v>
      </c>
      <c r="F173">
        <v>60</v>
      </c>
      <c r="G173" t="s">
        <v>2326</v>
      </c>
      <c r="H173" t="s">
        <v>1681</v>
      </c>
      <c r="I173" t="s">
        <v>2300</v>
      </c>
      <c r="J173" t="s">
        <v>2247</v>
      </c>
    </row>
    <row r="174" spans="2:10" x14ac:dyDescent="0.25">
      <c r="B174" t="s">
        <v>1979</v>
      </c>
      <c r="C174" t="s">
        <v>521</v>
      </c>
      <c r="D174" t="s">
        <v>877</v>
      </c>
      <c r="E174" t="s">
        <v>878</v>
      </c>
      <c r="F174">
        <v>200</v>
      </c>
      <c r="G174" t="s">
        <v>2323</v>
      </c>
      <c r="H174" t="s">
        <v>1627</v>
      </c>
      <c r="I174" t="s">
        <v>2300</v>
      </c>
      <c r="J174" t="s">
        <v>2247</v>
      </c>
    </row>
    <row r="175" spans="2:10" x14ac:dyDescent="0.25">
      <c r="B175" t="s">
        <v>1979</v>
      </c>
      <c r="C175" t="s">
        <v>521</v>
      </c>
      <c r="D175" t="s">
        <v>877</v>
      </c>
      <c r="E175" t="s">
        <v>878</v>
      </c>
      <c r="F175">
        <v>200</v>
      </c>
      <c r="G175" t="s">
        <v>2324</v>
      </c>
      <c r="H175" t="s">
        <v>1718</v>
      </c>
      <c r="I175" t="s">
        <v>2300</v>
      </c>
      <c r="J175" t="s">
        <v>2247</v>
      </c>
    </row>
    <row r="176" spans="2:10" x14ac:dyDescent="0.25">
      <c r="B176" t="s">
        <v>1979</v>
      </c>
      <c r="C176" t="s">
        <v>521</v>
      </c>
      <c r="D176" t="s">
        <v>877</v>
      </c>
      <c r="E176" t="s">
        <v>878</v>
      </c>
      <c r="F176">
        <v>40</v>
      </c>
      <c r="G176" t="s">
        <v>2325</v>
      </c>
      <c r="H176" t="s">
        <v>1736</v>
      </c>
      <c r="I176" t="s">
        <v>2300</v>
      </c>
      <c r="J176" t="s">
        <v>2247</v>
      </c>
    </row>
    <row r="177" spans="2:10" x14ac:dyDescent="0.25">
      <c r="B177" t="s">
        <v>1979</v>
      </c>
      <c r="C177" t="s">
        <v>521</v>
      </c>
      <c r="D177" t="s">
        <v>877</v>
      </c>
      <c r="E177" t="s">
        <v>878</v>
      </c>
      <c r="F177">
        <v>200</v>
      </c>
      <c r="G177" t="s">
        <v>2325</v>
      </c>
      <c r="H177" t="s">
        <v>1736</v>
      </c>
      <c r="I177" t="s">
        <v>2300</v>
      </c>
      <c r="J177" t="s">
        <v>2247</v>
      </c>
    </row>
    <row r="178" spans="2:10" x14ac:dyDescent="0.25">
      <c r="B178" t="s">
        <v>1979</v>
      </c>
      <c r="C178" t="s">
        <v>521</v>
      </c>
      <c r="D178" t="s">
        <v>877</v>
      </c>
      <c r="E178" t="s">
        <v>878</v>
      </c>
      <c r="F178">
        <v>120</v>
      </c>
      <c r="G178" t="s">
        <v>2326</v>
      </c>
      <c r="H178" t="s">
        <v>1681</v>
      </c>
      <c r="I178" t="s">
        <v>2300</v>
      </c>
      <c r="J178" t="s">
        <v>2247</v>
      </c>
    </row>
    <row r="179" spans="2:10" x14ac:dyDescent="0.25">
      <c r="B179" t="s">
        <v>1979</v>
      </c>
      <c r="C179" t="s">
        <v>28</v>
      </c>
      <c r="D179" t="s">
        <v>1472</v>
      </c>
      <c r="E179" t="s">
        <v>1473</v>
      </c>
      <c r="F179">
        <v>2025</v>
      </c>
      <c r="G179" t="s">
        <v>2323</v>
      </c>
      <c r="H179" t="s">
        <v>1627</v>
      </c>
      <c r="I179" t="s">
        <v>2300</v>
      </c>
      <c r="J179" t="s">
        <v>2247</v>
      </c>
    </row>
    <row r="180" spans="2:10" x14ac:dyDescent="0.25">
      <c r="B180" t="s">
        <v>1979</v>
      </c>
      <c r="C180" t="s">
        <v>28</v>
      </c>
      <c r="D180" t="s">
        <v>1472</v>
      </c>
      <c r="E180" t="s">
        <v>1473</v>
      </c>
      <c r="F180">
        <v>675</v>
      </c>
      <c r="G180" t="s">
        <v>2324</v>
      </c>
      <c r="H180" t="s">
        <v>1718</v>
      </c>
      <c r="I180" t="s">
        <v>2300</v>
      </c>
      <c r="J180" t="s">
        <v>2247</v>
      </c>
    </row>
    <row r="181" spans="2:10" x14ac:dyDescent="0.25">
      <c r="B181" t="s">
        <v>1979</v>
      </c>
      <c r="C181" t="s">
        <v>28</v>
      </c>
      <c r="D181" t="s">
        <v>1472</v>
      </c>
      <c r="E181" t="s">
        <v>1473</v>
      </c>
      <c r="F181">
        <v>3600</v>
      </c>
      <c r="G181" t="s">
        <v>2325</v>
      </c>
      <c r="H181" t="s">
        <v>1736</v>
      </c>
      <c r="I181" t="s">
        <v>2300</v>
      </c>
      <c r="J181" t="s">
        <v>2247</v>
      </c>
    </row>
    <row r="182" spans="2:10" x14ac:dyDescent="0.25">
      <c r="B182" t="s">
        <v>1979</v>
      </c>
      <c r="C182" t="s">
        <v>120</v>
      </c>
      <c r="D182" t="s">
        <v>540</v>
      </c>
      <c r="E182" t="s">
        <v>541</v>
      </c>
      <c r="F182">
        <v>60</v>
      </c>
      <c r="G182" t="s">
        <v>2327</v>
      </c>
      <c r="H182" t="s">
        <v>1724</v>
      </c>
      <c r="I182" t="s">
        <v>1972</v>
      </c>
      <c r="J182" t="s">
        <v>2247</v>
      </c>
    </row>
    <row r="183" spans="2:10" x14ac:dyDescent="0.25">
      <c r="B183" t="s">
        <v>1979</v>
      </c>
      <c r="C183" t="s">
        <v>712</v>
      </c>
      <c r="D183" t="s">
        <v>713</v>
      </c>
      <c r="E183" t="s">
        <v>714</v>
      </c>
      <c r="F183">
        <v>120</v>
      </c>
      <c r="G183" t="s">
        <v>2327</v>
      </c>
      <c r="H183" t="s">
        <v>1724</v>
      </c>
      <c r="I183" t="s">
        <v>1972</v>
      </c>
      <c r="J183" t="s">
        <v>2247</v>
      </c>
    </row>
    <row r="184" spans="2:10" x14ac:dyDescent="0.25">
      <c r="B184" t="s">
        <v>1979</v>
      </c>
      <c r="C184" t="s">
        <v>55</v>
      </c>
      <c r="D184" t="s">
        <v>212</v>
      </c>
      <c r="E184" t="s">
        <v>213</v>
      </c>
      <c r="F184">
        <v>60</v>
      </c>
      <c r="G184" t="s">
        <v>2327</v>
      </c>
      <c r="H184" t="s">
        <v>1724</v>
      </c>
      <c r="I184" t="s">
        <v>1972</v>
      </c>
      <c r="J184" t="s">
        <v>2247</v>
      </c>
    </row>
    <row r="185" spans="2:10" x14ac:dyDescent="0.25">
      <c r="B185" t="s">
        <v>1979</v>
      </c>
      <c r="C185" t="s">
        <v>145</v>
      </c>
      <c r="D185" t="s">
        <v>146</v>
      </c>
      <c r="E185" t="s">
        <v>147</v>
      </c>
      <c r="F185">
        <v>60</v>
      </c>
      <c r="G185" t="s">
        <v>2327</v>
      </c>
      <c r="H185" t="s">
        <v>1724</v>
      </c>
      <c r="I185" t="s">
        <v>1972</v>
      </c>
      <c r="J185" t="s">
        <v>2247</v>
      </c>
    </row>
    <row r="186" spans="2:10" x14ac:dyDescent="0.25">
      <c r="B186" t="s">
        <v>1979</v>
      </c>
      <c r="C186" t="s">
        <v>217</v>
      </c>
      <c r="D186" t="s">
        <v>1287</v>
      </c>
      <c r="E186" t="s">
        <v>1288</v>
      </c>
      <c r="F186">
        <v>1660</v>
      </c>
      <c r="G186" t="s">
        <v>2327</v>
      </c>
      <c r="H186" t="s">
        <v>1724</v>
      </c>
      <c r="I186" t="s">
        <v>1972</v>
      </c>
      <c r="J186" t="s">
        <v>2247</v>
      </c>
    </row>
    <row r="187" spans="2:10" x14ac:dyDescent="0.25">
      <c r="B187" t="s">
        <v>1979</v>
      </c>
      <c r="C187" t="s">
        <v>217</v>
      </c>
      <c r="D187" t="s">
        <v>1289</v>
      </c>
      <c r="E187" t="s">
        <v>1290</v>
      </c>
      <c r="F187">
        <v>200</v>
      </c>
      <c r="G187" t="s">
        <v>2328</v>
      </c>
      <c r="H187" t="s">
        <v>1643</v>
      </c>
      <c r="I187" t="s">
        <v>2329</v>
      </c>
      <c r="J187" t="s">
        <v>2247</v>
      </c>
    </row>
    <row r="188" spans="2:10" x14ac:dyDescent="0.25">
      <c r="B188" t="s">
        <v>1979</v>
      </c>
      <c r="C188" t="s">
        <v>61</v>
      </c>
      <c r="D188" t="s">
        <v>233</v>
      </c>
      <c r="E188" t="s">
        <v>234</v>
      </c>
      <c r="F188">
        <v>200</v>
      </c>
      <c r="G188" t="s">
        <v>2328</v>
      </c>
      <c r="H188" t="s">
        <v>1643</v>
      </c>
      <c r="I188" t="s">
        <v>2329</v>
      </c>
      <c r="J188" t="s">
        <v>2247</v>
      </c>
    </row>
    <row r="189" spans="2:10" x14ac:dyDescent="0.25">
      <c r="B189" t="s">
        <v>1979</v>
      </c>
      <c r="C189" t="s">
        <v>551</v>
      </c>
      <c r="D189" t="s">
        <v>1018</v>
      </c>
      <c r="E189" t="s">
        <v>1019</v>
      </c>
      <c r="F189">
        <v>1000</v>
      </c>
      <c r="G189" t="s">
        <v>2328</v>
      </c>
      <c r="H189" t="s">
        <v>1643</v>
      </c>
      <c r="I189" t="s">
        <v>2329</v>
      </c>
      <c r="J189" t="s">
        <v>2247</v>
      </c>
    </row>
    <row r="190" spans="2:10" x14ac:dyDescent="0.25">
      <c r="B190" t="s">
        <v>1979</v>
      </c>
      <c r="C190" t="s">
        <v>109</v>
      </c>
      <c r="D190" t="s">
        <v>110</v>
      </c>
      <c r="E190" t="s">
        <v>111</v>
      </c>
      <c r="F190">
        <v>500</v>
      </c>
      <c r="G190" t="s">
        <v>2332</v>
      </c>
      <c r="H190" t="s">
        <v>1627</v>
      </c>
      <c r="I190" t="s">
        <v>2329</v>
      </c>
      <c r="J190" t="s">
        <v>2247</v>
      </c>
    </row>
    <row r="191" spans="2:10" x14ac:dyDescent="0.25">
      <c r="B191" t="s">
        <v>1979</v>
      </c>
      <c r="C191" t="s">
        <v>25</v>
      </c>
      <c r="D191" t="s">
        <v>470</v>
      </c>
      <c r="E191" t="s">
        <v>471</v>
      </c>
      <c r="F191">
        <v>24</v>
      </c>
      <c r="G191" t="s">
        <v>2331</v>
      </c>
      <c r="H191" t="s">
        <v>1736</v>
      </c>
      <c r="I191" t="s">
        <v>2329</v>
      </c>
      <c r="J191" t="s">
        <v>2247</v>
      </c>
    </row>
    <row r="192" spans="2:10" x14ac:dyDescent="0.25">
      <c r="B192" t="s">
        <v>1979</v>
      </c>
      <c r="C192" t="s">
        <v>20</v>
      </c>
      <c r="D192" t="s">
        <v>459</v>
      </c>
      <c r="E192" t="s">
        <v>460</v>
      </c>
      <c r="F192">
        <v>260</v>
      </c>
      <c r="G192" t="s">
        <v>2333</v>
      </c>
      <c r="H192" t="s">
        <v>1627</v>
      </c>
      <c r="I192" t="s">
        <v>2329</v>
      </c>
      <c r="J192" t="s">
        <v>2247</v>
      </c>
    </row>
    <row r="193" spans="2:10" x14ac:dyDescent="0.25">
      <c r="B193" t="s">
        <v>1979</v>
      </c>
      <c r="C193" t="s">
        <v>20</v>
      </c>
      <c r="D193" t="s">
        <v>459</v>
      </c>
      <c r="E193" t="s">
        <v>460</v>
      </c>
      <c r="F193">
        <v>1740</v>
      </c>
      <c r="G193" t="s">
        <v>2333</v>
      </c>
      <c r="H193" t="s">
        <v>1627</v>
      </c>
      <c r="I193" t="s">
        <v>2329</v>
      </c>
      <c r="J193" t="s">
        <v>2247</v>
      </c>
    </row>
    <row r="194" spans="2:10" x14ac:dyDescent="0.25">
      <c r="B194" t="s">
        <v>1979</v>
      </c>
      <c r="C194" t="s">
        <v>17</v>
      </c>
      <c r="D194" t="s">
        <v>255</v>
      </c>
      <c r="E194" t="s">
        <v>256</v>
      </c>
      <c r="F194">
        <v>600</v>
      </c>
      <c r="G194" t="s">
        <v>2330</v>
      </c>
      <c r="H194" t="s">
        <v>1643</v>
      </c>
      <c r="I194" t="s">
        <v>2329</v>
      </c>
      <c r="J194" t="s">
        <v>2247</v>
      </c>
    </row>
    <row r="195" spans="2:10" x14ac:dyDescent="0.25">
      <c r="B195" t="s">
        <v>1979</v>
      </c>
      <c r="C195" t="s">
        <v>17</v>
      </c>
      <c r="D195" t="s">
        <v>255</v>
      </c>
      <c r="E195" t="s">
        <v>256</v>
      </c>
      <c r="F195">
        <v>600</v>
      </c>
      <c r="G195" t="s">
        <v>2331</v>
      </c>
      <c r="H195" t="s">
        <v>1736</v>
      </c>
      <c r="I195" t="s">
        <v>2329</v>
      </c>
      <c r="J195" t="s">
        <v>2247</v>
      </c>
    </row>
    <row r="196" spans="2:10" x14ac:dyDescent="0.25">
      <c r="B196" t="s">
        <v>1979</v>
      </c>
      <c r="C196" t="s">
        <v>17</v>
      </c>
      <c r="D196" t="s">
        <v>255</v>
      </c>
      <c r="E196" t="s">
        <v>256</v>
      </c>
      <c r="F196">
        <v>500</v>
      </c>
      <c r="G196" t="s">
        <v>2332</v>
      </c>
      <c r="H196" t="s">
        <v>1627</v>
      </c>
      <c r="I196" t="s">
        <v>2329</v>
      </c>
      <c r="J196" t="s">
        <v>2247</v>
      </c>
    </row>
    <row r="197" spans="2:10" x14ac:dyDescent="0.25">
      <c r="B197" t="s">
        <v>1979</v>
      </c>
      <c r="C197" t="s">
        <v>17</v>
      </c>
      <c r="D197" t="s">
        <v>255</v>
      </c>
      <c r="E197" t="s">
        <v>256</v>
      </c>
      <c r="F197">
        <v>200</v>
      </c>
      <c r="G197" t="s">
        <v>2333</v>
      </c>
      <c r="H197" t="s">
        <v>1627</v>
      </c>
      <c r="I197" t="s">
        <v>2329</v>
      </c>
      <c r="J197" t="s">
        <v>2247</v>
      </c>
    </row>
    <row r="198" spans="2:10" x14ac:dyDescent="0.25">
      <c r="B198" t="s">
        <v>1979</v>
      </c>
      <c r="C198" t="s">
        <v>64</v>
      </c>
      <c r="D198" t="s">
        <v>856</v>
      </c>
      <c r="E198" t="s">
        <v>857</v>
      </c>
      <c r="F198">
        <v>200</v>
      </c>
      <c r="G198" t="s">
        <v>2330</v>
      </c>
      <c r="H198" t="s">
        <v>1643</v>
      </c>
      <c r="I198" t="s">
        <v>2329</v>
      </c>
      <c r="J198" t="s">
        <v>2247</v>
      </c>
    </row>
    <row r="199" spans="2:10" x14ac:dyDescent="0.25">
      <c r="B199" t="s">
        <v>1979</v>
      </c>
      <c r="C199" t="s">
        <v>64</v>
      </c>
      <c r="D199" t="s">
        <v>856</v>
      </c>
      <c r="E199" t="s">
        <v>857</v>
      </c>
      <c r="F199">
        <v>40</v>
      </c>
      <c r="G199" t="s">
        <v>2331</v>
      </c>
      <c r="H199" t="s">
        <v>1736</v>
      </c>
      <c r="I199" t="s">
        <v>2329</v>
      </c>
      <c r="J199" t="s">
        <v>2247</v>
      </c>
    </row>
    <row r="200" spans="2:10" x14ac:dyDescent="0.25">
      <c r="B200" t="s">
        <v>1979</v>
      </c>
      <c r="C200" t="s">
        <v>11</v>
      </c>
      <c r="D200" t="s">
        <v>1388</v>
      </c>
      <c r="E200" t="s">
        <v>1389</v>
      </c>
      <c r="F200">
        <v>500</v>
      </c>
      <c r="G200" t="s">
        <v>2332</v>
      </c>
      <c r="H200" t="s">
        <v>1627</v>
      </c>
      <c r="I200" t="s">
        <v>2329</v>
      </c>
      <c r="J200" t="s">
        <v>2247</v>
      </c>
    </row>
    <row r="201" spans="2:10" x14ac:dyDescent="0.25">
      <c r="B201" t="s">
        <v>1979</v>
      </c>
      <c r="C201" t="s">
        <v>145</v>
      </c>
      <c r="D201" t="s">
        <v>146</v>
      </c>
      <c r="E201" t="s">
        <v>147</v>
      </c>
      <c r="F201">
        <v>500</v>
      </c>
      <c r="G201" t="s">
        <v>2332</v>
      </c>
      <c r="H201" t="s">
        <v>1627</v>
      </c>
      <c r="I201" t="s">
        <v>2329</v>
      </c>
      <c r="J201" t="s">
        <v>2247</v>
      </c>
    </row>
    <row r="202" spans="2:10" x14ac:dyDescent="0.25">
      <c r="B202" t="s">
        <v>1979</v>
      </c>
      <c r="C202" t="s">
        <v>145</v>
      </c>
      <c r="D202" t="s">
        <v>146</v>
      </c>
      <c r="E202" t="s">
        <v>147</v>
      </c>
      <c r="F202">
        <v>200</v>
      </c>
      <c r="G202" t="s">
        <v>2330</v>
      </c>
      <c r="H202" t="s">
        <v>1643</v>
      </c>
      <c r="I202" t="s">
        <v>2329</v>
      </c>
      <c r="J202" t="s">
        <v>2247</v>
      </c>
    </row>
    <row r="203" spans="2:10" x14ac:dyDescent="0.25">
      <c r="B203" t="s">
        <v>1979</v>
      </c>
      <c r="C203" t="s">
        <v>145</v>
      </c>
      <c r="D203" t="s">
        <v>146</v>
      </c>
      <c r="E203" t="s">
        <v>147</v>
      </c>
      <c r="F203">
        <v>600</v>
      </c>
      <c r="G203" t="s">
        <v>2331</v>
      </c>
      <c r="H203" t="s">
        <v>1736</v>
      </c>
      <c r="I203" t="s">
        <v>2329</v>
      </c>
      <c r="J203" t="s">
        <v>2247</v>
      </c>
    </row>
    <row r="204" spans="2:10" x14ac:dyDescent="0.25">
      <c r="B204" t="s">
        <v>1979</v>
      </c>
      <c r="C204" t="s">
        <v>623</v>
      </c>
      <c r="D204" t="s">
        <v>871</v>
      </c>
      <c r="E204" t="s">
        <v>872</v>
      </c>
      <c r="F204">
        <v>800</v>
      </c>
      <c r="G204" t="s">
        <v>2332</v>
      </c>
      <c r="H204" t="s">
        <v>1627</v>
      </c>
      <c r="I204" t="s">
        <v>2329</v>
      </c>
      <c r="J204" t="s">
        <v>2247</v>
      </c>
    </row>
    <row r="205" spans="2:10" x14ac:dyDescent="0.25">
      <c r="B205" t="s">
        <v>1979</v>
      </c>
      <c r="C205" t="s">
        <v>61</v>
      </c>
      <c r="D205" t="s">
        <v>231</v>
      </c>
      <c r="E205" t="s">
        <v>232</v>
      </c>
      <c r="F205">
        <v>500</v>
      </c>
      <c r="G205" t="s">
        <v>2334</v>
      </c>
      <c r="H205" t="s">
        <v>1773</v>
      </c>
      <c r="I205" t="s">
        <v>2246</v>
      </c>
      <c r="J205" t="s">
        <v>2247</v>
      </c>
    </row>
    <row r="206" spans="2:10" x14ac:dyDescent="0.25">
      <c r="B206" t="s">
        <v>1979</v>
      </c>
      <c r="C206" t="s">
        <v>8</v>
      </c>
      <c r="D206" t="s">
        <v>605</v>
      </c>
      <c r="E206" t="s">
        <v>606</v>
      </c>
      <c r="F206">
        <v>5000</v>
      </c>
      <c r="G206" t="s">
        <v>2334</v>
      </c>
      <c r="H206" t="s">
        <v>1773</v>
      </c>
      <c r="I206" t="s">
        <v>2246</v>
      </c>
      <c r="J206" t="s">
        <v>2247</v>
      </c>
    </row>
    <row r="207" spans="2:10" x14ac:dyDescent="0.25">
      <c r="B207" t="s">
        <v>1979</v>
      </c>
      <c r="C207" t="s">
        <v>25</v>
      </c>
      <c r="D207" t="s">
        <v>470</v>
      </c>
      <c r="E207" t="s">
        <v>471</v>
      </c>
      <c r="F207">
        <v>24</v>
      </c>
      <c r="G207" t="s">
        <v>2516</v>
      </c>
      <c r="H207" t="s">
        <v>1651</v>
      </c>
      <c r="I207" t="s">
        <v>2246</v>
      </c>
      <c r="J207" t="s">
        <v>2247</v>
      </c>
    </row>
    <row r="208" spans="2:10" x14ac:dyDescent="0.25">
      <c r="B208" t="s">
        <v>1979</v>
      </c>
      <c r="C208" t="s">
        <v>25</v>
      </c>
      <c r="D208" t="s">
        <v>470</v>
      </c>
      <c r="E208" t="s">
        <v>471</v>
      </c>
      <c r="F208">
        <v>2520</v>
      </c>
      <c r="G208" t="s">
        <v>2334</v>
      </c>
      <c r="H208" t="s">
        <v>1773</v>
      </c>
      <c r="I208" t="s">
        <v>2246</v>
      </c>
      <c r="J208" t="s">
        <v>2247</v>
      </c>
    </row>
    <row r="209" spans="2:10" x14ac:dyDescent="0.25">
      <c r="B209" t="s">
        <v>1979</v>
      </c>
      <c r="C209" t="s">
        <v>40</v>
      </c>
      <c r="D209" t="s">
        <v>41</v>
      </c>
      <c r="E209" t="s">
        <v>42</v>
      </c>
      <c r="F209">
        <v>23</v>
      </c>
      <c r="G209" t="s">
        <v>2334</v>
      </c>
      <c r="H209" t="s">
        <v>1773</v>
      </c>
      <c r="I209" t="s">
        <v>2246</v>
      </c>
      <c r="J209" t="s">
        <v>2247</v>
      </c>
    </row>
    <row r="210" spans="2:10" x14ac:dyDescent="0.25">
      <c r="B210" t="s">
        <v>1979</v>
      </c>
      <c r="C210" t="s">
        <v>40</v>
      </c>
      <c r="D210" t="s">
        <v>41</v>
      </c>
      <c r="E210" t="s">
        <v>42</v>
      </c>
      <c r="F210">
        <v>268</v>
      </c>
      <c r="G210" t="s">
        <v>2334</v>
      </c>
      <c r="H210" t="s">
        <v>1773</v>
      </c>
      <c r="I210" t="s">
        <v>2246</v>
      </c>
      <c r="J210" t="s">
        <v>2247</v>
      </c>
    </row>
    <row r="211" spans="2:10" x14ac:dyDescent="0.25">
      <c r="B211" t="s">
        <v>1979</v>
      </c>
      <c r="C211" t="s">
        <v>40</v>
      </c>
      <c r="D211" t="s">
        <v>41</v>
      </c>
      <c r="E211" t="s">
        <v>42</v>
      </c>
      <c r="F211">
        <v>93</v>
      </c>
      <c r="G211" t="s">
        <v>2334</v>
      </c>
      <c r="H211" t="s">
        <v>1773</v>
      </c>
      <c r="I211" t="s">
        <v>2246</v>
      </c>
      <c r="J211" t="s">
        <v>2247</v>
      </c>
    </row>
    <row r="212" spans="2:10" x14ac:dyDescent="0.25">
      <c r="B212" t="s">
        <v>1979</v>
      </c>
      <c r="C212" t="s">
        <v>40</v>
      </c>
      <c r="D212" t="s">
        <v>41</v>
      </c>
      <c r="E212" t="s">
        <v>42</v>
      </c>
      <c r="F212">
        <v>120</v>
      </c>
      <c r="G212" t="s">
        <v>2334</v>
      </c>
      <c r="H212" t="s">
        <v>1773</v>
      </c>
      <c r="I212" t="s">
        <v>2246</v>
      </c>
      <c r="J212" t="s">
        <v>2247</v>
      </c>
    </row>
    <row r="213" spans="2:10" x14ac:dyDescent="0.25">
      <c r="B213" t="s">
        <v>1979</v>
      </c>
      <c r="C213" t="s">
        <v>40</v>
      </c>
      <c r="D213" t="s">
        <v>41</v>
      </c>
      <c r="E213" t="s">
        <v>42</v>
      </c>
      <c r="F213">
        <v>120</v>
      </c>
      <c r="G213" t="s">
        <v>2335</v>
      </c>
      <c r="H213" t="s">
        <v>1767</v>
      </c>
      <c r="I213" t="s">
        <v>2246</v>
      </c>
      <c r="J213" t="s">
        <v>2247</v>
      </c>
    </row>
    <row r="214" spans="2:10" x14ac:dyDescent="0.25">
      <c r="B214" t="s">
        <v>1979</v>
      </c>
      <c r="C214" t="s">
        <v>40</v>
      </c>
      <c r="D214" t="s">
        <v>41</v>
      </c>
      <c r="E214" t="s">
        <v>42</v>
      </c>
      <c r="F214">
        <v>120</v>
      </c>
      <c r="G214" t="s">
        <v>2336</v>
      </c>
      <c r="H214" t="s">
        <v>1610</v>
      </c>
      <c r="I214" t="s">
        <v>2246</v>
      </c>
      <c r="J214" t="s">
        <v>2247</v>
      </c>
    </row>
    <row r="215" spans="2:10" x14ac:dyDescent="0.25">
      <c r="B215" t="s">
        <v>1979</v>
      </c>
      <c r="C215" t="s">
        <v>715</v>
      </c>
      <c r="D215" t="s">
        <v>716</v>
      </c>
      <c r="E215" t="s">
        <v>717</v>
      </c>
      <c r="F215">
        <v>1080</v>
      </c>
      <c r="G215" t="s">
        <v>2339</v>
      </c>
      <c r="H215" t="s">
        <v>1605</v>
      </c>
      <c r="I215" t="s">
        <v>2246</v>
      </c>
      <c r="J215" t="s">
        <v>2247</v>
      </c>
    </row>
    <row r="216" spans="2:10" x14ac:dyDescent="0.25">
      <c r="B216" t="s">
        <v>1979</v>
      </c>
      <c r="C216" t="s">
        <v>715</v>
      </c>
      <c r="D216" t="s">
        <v>716</v>
      </c>
      <c r="E216" t="s">
        <v>717</v>
      </c>
      <c r="F216">
        <v>1080</v>
      </c>
      <c r="G216" t="s">
        <v>2334</v>
      </c>
      <c r="H216" t="s">
        <v>1773</v>
      </c>
      <c r="I216" t="s">
        <v>2246</v>
      </c>
      <c r="J216" t="s">
        <v>2247</v>
      </c>
    </row>
    <row r="217" spans="2:10" x14ac:dyDescent="0.25">
      <c r="B217" t="s">
        <v>1979</v>
      </c>
      <c r="C217" t="s">
        <v>148</v>
      </c>
      <c r="D217" t="s">
        <v>544</v>
      </c>
      <c r="E217" t="s">
        <v>545</v>
      </c>
      <c r="F217">
        <v>200</v>
      </c>
      <c r="G217" t="s">
        <v>2338</v>
      </c>
      <c r="H217" t="s">
        <v>1736</v>
      </c>
      <c r="I217" t="s">
        <v>2246</v>
      </c>
      <c r="J217" t="s">
        <v>2247</v>
      </c>
    </row>
    <row r="218" spans="2:10" x14ac:dyDescent="0.25">
      <c r="B218" t="s">
        <v>1979</v>
      </c>
      <c r="C218" t="s">
        <v>114</v>
      </c>
      <c r="D218" t="s">
        <v>115</v>
      </c>
      <c r="E218" t="s">
        <v>116</v>
      </c>
      <c r="F218">
        <v>720</v>
      </c>
      <c r="G218" t="s">
        <v>2340</v>
      </c>
      <c r="H218" t="s">
        <v>1773</v>
      </c>
      <c r="I218" t="s">
        <v>2246</v>
      </c>
      <c r="J218" t="s">
        <v>2247</v>
      </c>
    </row>
    <row r="219" spans="2:10" x14ac:dyDescent="0.25">
      <c r="B219" t="s">
        <v>1979</v>
      </c>
      <c r="C219" t="s">
        <v>120</v>
      </c>
      <c r="D219" t="s">
        <v>540</v>
      </c>
      <c r="E219" t="s">
        <v>541</v>
      </c>
      <c r="F219">
        <v>400</v>
      </c>
      <c r="G219" t="s">
        <v>2337</v>
      </c>
      <c r="H219" t="s">
        <v>1773</v>
      </c>
      <c r="I219" t="s">
        <v>2246</v>
      </c>
      <c r="J219" t="s">
        <v>2247</v>
      </c>
    </row>
    <row r="220" spans="2:10" x14ac:dyDescent="0.25">
      <c r="B220" t="s">
        <v>1979</v>
      </c>
      <c r="C220" t="s">
        <v>120</v>
      </c>
      <c r="D220" t="s">
        <v>1014</v>
      </c>
      <c r="E220" t="s">
        <v>1015</v>
      </c>
      <c r="F220">
        <v>120</v>
      </c>
      <c r="G220" t="s">
        <v>2341</v>
      </c>
      <c r="H220" t="s">
        <v>1691</v>
      </c>
      <c r="I220" t="s">
        <v>2342</v>
      </c>
      <c r="J220" t="s">
        <v>2247</v>
      </c>
    </row>
    <row r="221" spans="2:10" x14ac:dyDescent="0.25">
      <c r="B221" t="s">
        <v>1979</v>
      </c>
      <c r="C221" t="s">
        <v>140</v>
      </c>
      <c r="D221" t="s">
        <v>570</v>
      </c>
      <c r="E221" t="s">
        <v>571</v>
      </c>
      <c r="F221">
        <v>12</v>
      </c>
      <c r="G221" t="s">
        <v>2341</v>
      </c>
      <c r="H221" t="s">
        <v>1691</v>
      </c>
      <c r="I221" t="s">
        <v>2342</v>
      </c>
      <c r="J221" t="s">
        <v>2247</v>
      </c>
    </row>
    <row r="222" spans="2:10" x14ac:dyDescent="0.25">
      <c r="B222" t="s">
        <v>1979</v>
      </c>
      <c r="C222" t="s">
        <v>17</v>
      </c>
      <c r="D222" t="s">
        <v>607</v>
      </c>
      <c r="E222" t="s">
        <v>608</v>
      </c>
      <c r="F222">
        <v>500</v>
      </c>
      <c r="G222" t="s">
        <v>2341</v>
      </c>
      <c r="H222" t="s">
        <v>1691</v>
      </c>
      <c r="I222" t="s">
        <v>2342</v>
      </c>
      <c r="J222" t="s">
        <v>2247</v>
      </c>
    </row>
    <row r="223" spans="2:10" x14ac:dyDescent="0.25">
      <c r="B223" t="s">
        <v>1979</v>
      </c>
      <c r="C223" t="s">
        <v>17</v>
      </c>
      <c r="D223" t="s">
        <v>255</v>
      </c>
      <c r="E223" t="s">
        <v>256</v>
      </c>
      <c r="F223">
        <v>2100</v>
      </c>
      <c r="G223" t="s">
        <v>2343</v>
      </c>
      <c r="H223" t="s">
        <v>1718</v>
      </c>
      <c r="I223" t="s">
        <v>2342</v>
      </c>
      <c r="J223" t="s">
        <v>2247</v>
      </c>
    </row>
    <row r="224" spans="2:10" x14ac:dyDescent="0.25">
      <c r="B224" t="s">
        <v>1979</v>
      </c>
      <c r="C224" t="s">
        <v>352</v>
      </c>
      <c r="D224" t="s">
        <v>1320</v>
      </c>
      <c r="E224" t="s">
        <v>1321</v>
      </c>
      <c r="F224">
        <v>300</v>
      </c>
      <c r="G224" t="s">
        <v>2341</v>
      </c>
      <c r="H224" t="s">
        <v>1691</v>
      </c>
      <c r="I224" t="s">
        <v>2342</v>
      </c>
      <c r="J224" t="s">
        <v>2247</v>
      </c>
    </row>
    <row r="225" spans="2:10" x14ac:dyDescent="0.25">
      <c r="B225" t="s">
        <v>1979</v>
      </c>
      <c r="C225" t="s">
        <v>145</v>
      </c>
      <c r="D225" t="s">
        <v>146</v>
      </c>
      <c r="E225" t="s">
        <v>147</v>
      </c>
      <c r="F225">
        <v>300</v>
      </c>
      <c r="G225" t="s">
        <v>2341</v>
      </c>
      <c r="H225" t="s">
        <v>1691</v>
      </c>
      <c r="I225" t="s">
        <v>2342</v>
      </c>
      <c r="J225" t="s">
        <v>2247</v>
      </c>
    </row>
    <row r="226" spans="2:10" x14ac:dyDescent="0.25">
      <c r="B226" t="s">
        <v>1979</v>
      </c>
      <c r="C226" t="s">
        <v>145</v>
      </c>
      <c r="D226" t="s">
        <v>225</v>
      </c>
      <c r="E226" t="s">
        <v>226</v>
      </c>
      <c r="F226">
        <v>200</v>
      </c>
      <c r="G226" t="s">
        <v>2341</v>
      </c>
      <c r="H226" t="s">
        <v>1691</v>
      </c>
      <c r="I226" t="s">
        <v>2342</v>
      </c>
      <c r="J226" t="s">
        <v>2247</v>
      </c>
    </row>
    <row r="227" spans="2:10" x14ac:dyDescent="0.25">
      <c r="B227" t="s">
        <v>1979</v>
      </c>
      <c r="C227" t="s">
        <v>145</v>
      </c>
      <c r="D227" t="s">
        <v>974</v>
      </c>
      <c r="E227" t="s">
        <v>975</v>
      </c>
      <c r="F227">
        <v>60</v>
      </c>
      <c r="G227" t="s">
        <v>2341</v>
      </c>
      <c r="H227" t="s">
        <v>1691</v>
      </c>
      <c r="I227" t="s">
        <v>2342</v>
      </c>
      <c r="J227" t="s">
        <v>2247</v>
      </c>
    </row>
    <row r="228" spans="2:10" x14ac:dyDescent="0.25">
      <c r="B228" t="s">
        <v>1979</v>
      </c>
      <c r="C228" t="s">
        <v>623</v>
      </c>
      <c r="D228" t="s">
        <v>813</v>
      </c>
      <c r="E228" t="s">
        <v>814</v>
      </c>
      <c r="F228">
        <v>24</v>
      </c>
      <c r="G228" t="s">
        <v>2341</v>
      </c>
      <c r="H228" t="s">
        <v>1691</v>
      </c>
      <c r="I228" t="s">
        <v>2342</v>
      </c>
      <c r="J228" t="s">
        <v>2247</v>
      </c>
    </row>
    <row r="229" spans="2:10" x14ac:dyDescent="0.25">
      <c r="B229" t="s">
        <v>1979</v>
      </c>
      <c r="C229" t="s">
        <v>623</v>
      </c>
      <c r="D229" t="s">
        <v>813</v>
      </c>
      <c r="E229" t="s">
        <v>814</v>
      </c>
      <c r="F229">
        <v>36</v>
      </c>
      <c r="G229" t="s">
        <v>2341</v>
      </c>
      <c r="H229" t="s">
        <v>1691</v>
      </c>
      <c r="I229" t="s">
        <v>2342</v>
      </c>
      <c r="J229" t="s">
        <v>2247</v>
      </c>
    </row>
    <row r="230" spans="2:10" x14ac:dyDescent="0.25">
      <c r="B230" t="s">
        <v>1979</v>
      </c>
      <c r="C230" t="s">
        <v>623</v>
      </c>
      <c r="D230" t="s">
        <v>925</v>
      </c>
      <c r="E230" t="s">
        <v>926</v>
      </c>
      <c r="F230">
        <v>300</v>
      </c>
      <c r="G230" t="s">
        <v>2341</v>
      </c>
      <c r="H230" t="s">
        <v>1691</v>
      </c>
      <c r="I230" t="s">
        <v>2342</v>
      </c>
      <c r="J230" t="s">
        <v>2247</v>
      </c>
    </row>
    <row r="231" spans="2:10" x14ac:dyDescent="0.25">
      <c r="B231" t="s">
        <v>1979</v>
      </c>
      <c r="C231" t="s">
        <v>203</v>
      </c>
      <c r="D231" t="s">
        <v>963</v>
      </c>
      <c r="E231" t="s">
        <v>964</v>
      </c>
      <c r="F231">
        <v>1000</v>
      </c>
      <c r="G231" t="s">
        <v>2343</v>
      </c>
      <c r="H231" t="s">
        <v>1718</v>
      </c>
      <c r="I231" t="s">
        <v>2342</v>
      </c>
      <c r="J231" t="s">
        <v>2247</v>
      </c>
    </row>
    <row r="232" spans="2:10" x14ac:dyDescent="0.25">
      <c r="B232" t="s">
        <v>1979</v>
      </c>
      <c r="C232" t="s">
        <v>25</v>
      </c>
      <c r="D232" t="s">
        <v>470</v>
      </c>
      <c r="E232" t="s">
        <v>471</v>
      </c>
      <c r="F232">
        <v>1260</v>
      </c>
      <c r="G232" t="s">
        <v>2344</v>
      </c>
      <c r="H232" t="s">
        <v>1646</v>
      </c>
      <c r="I232" t="s">
        <v>2246</v>
      </c>
      <c r="J232" t="s">
        <v>2247</v>
      </c>
    </row>
    <row r="233" spans="2:10" x14ac:dyDescent="0.25">
      <c r="B233" t="s">
        <v>1979</v>
      </c>
      <c r="C233" t="s">
        <v>715</v>
      </c>
      <c r="D233" t="s">
        <v>716</v>
      </c>
      <c r="E233" t="s">
        <v>717</v>
      </c>
      <c r="F233">
        <v>2520</v>
      </c>
      <c r="G233" t="s">
        <v>2345</v>
      </c>
      <c r="H233" t="s">
        <v>1610</v>
      </c>
      <c r="I233" t="s">
        <v>2246</v>
      </c>
      <c r="J233" t="s">
        <v>2247</v>
      </c>
    </row>
    <row r="234" spans="2:10" x14ac:dyDescent="0.25">
      <c r="B234" t="s">
        <v>1979</v>
      </c>
      <c r="C234" t="s">
        <v>114</v>
      </c>
      <c r="D234" t="s">
        <v>115</v>
      </c>
      <c r="E234" t="s">
        <v>116</v>
      </c>
      <c r="F234">
        <v>1080</v>
      </c>
      <c r="G234" t="s">
        <v>2346</v>
      </c>
      <c r="H234" t="s">
        <v>1610</v>
      </c>
      <c r="I234" t="s">
        <v>2246</v>
      </c>
      <c r="J234" t="s">
        <v>2247</v>
      </c>
    </row>
    <row r="235" spans="2:10" x14ac:dyDescent="0.25">
      <c r="B235" t="s">
        <v>1979</v>
      </c>
      <c r="C235" t="s">
        <v>418</v>
      </c>
      <c r="D235" t="s">
        <v>423</v>
      </c>
      <c r="E235" t="s">
        <v>424</v>
      </c>
      <c r="F235">
        <v>600</v>
      </c>
      <c r="G235" t="s">
        <v>2346</v>
      </c>
      <c r="H235" t="s">
        <v>1610</v>
      </c>
      <c r="I235" t="s">
        <v>2246</v>
      </c>
      <c r="J235" t="s">
        <v>2247</v>
      </c>
    </row>
    <row r="236" spans="2:10" x14ac:dyDescent="0.25">
      <c r="B236" t="s">
        <v>1979</v>
      </c>
      <c r="C236" t="s">
        <v>164</v>
      </c>
      <c r="D236" t="s">
        <v>167</v>
      </c>
      <c r="E236" t="s">
        <v>168</v>
      </c>
      <c r="F236">
        <v>4</v>
      </c>
      <c r="G236" t="s">
        <v>2347</v>
      </c>
      <c r="H236" t="s">
        <v>1718</v>
      </c>
      <c r="I236" t="s">
        <v>2297</v>
      </c>
      <c r="J236" t="s">
        <v>2247</v>
      </c>
    </row>
    <row r="237" spans="2:10" x14ac:dyDescent="0.25">
      <c r="B237" t="s">
        <v>1979</v>
      </c>
      <c r="C237" t="s">
        <v>55</v>
      </c>
      <c r="D237" t="s">
        <v>56</v>
      </c>
      <c r="E237" t="s">
        <v>57</v>
      </c>
      <c r="F237">
        <v>40</v>
      </c>
      <c r="G237" t="s">
        <v>2348</v>
      </c>
      <c r="H237" t="s">
        <v>1718</v>
      </c>
      <c r="I237" t="s">
        <v>2297</v>
      </c>
      <c r="J237" t="s">
        <v>2247</v>
      </c>
    </row>
    <row r="238" spans="2:10" x14ac:dyDescent="0.25">
      <c r="B238" t="s">
        <v>1979</v>
      </c>
      <c r="C238" t="s">
        <v>55</v>
      </c>
      <c r="D238" t="s">
        <v>212</v>
      </c>
      <c r="E238" t="s">
        <v>213</v>
      </c>
      <c r="F238">
        <v>160</v>
      </c>
      <c r="G238" t="s">
        <v>2348</v>
      </c>
      <c r="H238" t="s">
        <v>1718</v>
      </c>
      <c r="I238" t="s">
        <v>2297</v>
      </c>
      <c r="J238" t="s">
        <v>2247</v>
      </c>
    </row>
    <row r="239" spans="2:10" x14ac:dyDescent="0.25">
      <c r="B239" t="s">
        <v>1979</v>
      </c>
      <c r="C239" t="s">
        <v>8</v>
      </c>
      <c r="D239" t="s">
        <v>605</v>
      </c>
      <c r="E239" t="s">
        <v>606</v>
      </c>
      <c r="F239">
        <v>1300</v>
      </c>
      <c r="G239" t="s">
        <v>2349</v>
      </c>
      <c r="H239" t="s">
        <v>2110</v>
      </c>
      <c r="I239" t="s">
        <v>2297</v>
      </c>
      <c r="J239" t="s">
        <v>2247</v>
      </c>
    </row>
    <row r="240" spans="2:10" x14ac:dyDescent="0.25">
      <c r="B240" t="s">
        <v>1979</v>
      </c>
      <c r="C240" t="s">
        <v>860</v>
      </c>
      <c r="D240" t="s">
        <v>1061</v>
      </c>
      <c r="E240" t="s">
        <v>1062</v>
      </c>
      <c r="F240">
        <v>20</v>
      </c>
      <c r="G240" t="s">
        <v>2348</v>
      </c>
      <c r="H240" t="s">
        <v>1718</v>
      </c>
      <c r="I240" t="s">
        <v>2297</v>
      </c>
      <c r="J240" t="s">
        <v>2247</v>
      </c>
    </row>
    <row r="241" spans="2:10" x14ac:dyDescent="0.25">
      <c r="B241" t="s">
        <v>1979</v>
      </c>
      <c r="C241" t="s">
        <v>70</v>
      </c>
      <c r="D241" t="s">
        <v>333</v>
      </c>
      <c r="E241" t="s">
        <v>334</v>
      </c>
      <c r="F241">
        <v>40</v>
      </c>
      <c r="G241" t="s">
        <v>2348</v>
      </c>
      <c r="H241" t="s">
        <v>1718</v>
      </c>
      <c r="I241" t="s">
        <v>2297</v>
      </c>
      <c r="J241" t="s">
        <v>2247</v>
      </c>
    </row>
    <row r="242" spans="2:10" x14ac:dyDescent="0.25">
      <c r="B242" t="s">
        <v>1979</v>
      </c>
      <c r="C242" t="s">
        <v>70</v>
      </c>
      <c r="D242" t="s">
        <v>388</v>
      </c>
      <c r="E242" t="s">
        <v>389</v>
      </c>
      <c r="F242">
        <v>60</v>
      </c>
      <c r="G242" t="s">
        <v>2348</v>
      </c>
      <c r="H242" t="s">
        <v>1718</v>
      </c>
      <c r="I242" t="s">
        <v>2297</v>
      </c>
      <c r="J242" t="s">
        <v>2247</v>
      </c>
    </row>
    <row r="243" spans="2:10" x14ac:dyDescent="0.25">
      <c r="B243" t="s">
        <v>1979</v>
      </c>
      <c r="C243" t="s">
        <v>352</v>
      </c>
      <c r="D243" t="s">
        <v>1320</v>
      </c>
      <c r="E243" t="s">
        <v>1321</v>
      </c>
      <c r="F243">
        <v>40</v>
      </c>
      <c r="G243" t="s">
        <v>2351</v>
      </c>
      <c r="H243" t="s">
        <v>1643</v>
      </c>
      <c r="I243" t="s">
        <v>2342</v>
      </c>
      <c r="J243" t="s">
        <v>2247</v>
      </c>
    </row>
    <row r="244" spans="2:10" x14ac:dyDescent="0.25">
      <c r="B244" t="s">
        <v>1979</v>
      </c>
      <c r="C244" t="s">
        <v>352</v>
      </c>
      <c r="D244" t="s">
        <v>1320</v>
      </c>
      <c r="E244" t="s">
        <v>1321</v>
      </c>
      <c r="F244">
        <v>80</v>
      </c>
      <c r="G244" t="s">
        <v>2350</v>
      </c>
      <c r="H244" t="s">
        <v>1691</v>
      </c>
      <c r="I244" t="s">
        <v>2342</v>
      </c>
      <c r="J244" t="s">
        <v>2247</v>
      </c>
    </row>
    <row r="245" spans="2:10" x14ac:dyDescent="0.25">
      <c r="B245" t="s">
        <v>1979</v>
      </c>
      <c r="C245" t="s">
        <v>352</v>
      </c>
      <c r="D245" t="s">
        <v>1065</v>
      </c>
      <c r="E245" t="s">
        <v>1066</v>
      </c>
      <c r="F245">
        <v>36</v>
      </c>
      <c r="G245" t="s">
        <v>2350</v>
      </c>
      <c r="H245" t="s">
        <v>1691</v>
      </c>
      <c r="I245" t="s">
        <v>2342</v>
      </c>
      <c r="J245" t="s">
        <v>2247</v>
      </c>
    </row>
    <row r="246" spans="2:10" x14ac:dyDescent="0.25">
      <c r="B246" t="s">
        <v>1979</v>
      </c>
      <c r="C246" t="s">
        <v>352</v>
      </c>
      <c r="D246" t="s">
        <v>1380</v>
      </c>
      <c r="E246" t="s">
        <v>1381</v>
      </c>
      <c r="F246">
        <v>60</v>
      </c>
      <c r="G246" t="s">
        <v>2351</v>
      </c>
      <c r="H246" t="s">
        <v>1643</v>
      </c>
      <c r="I246" t="s">
        <v>2342</v>
      </c>
      <c r="J246" t="s">
        <v>2247</v>
      </c>
    </row>
    <row r="247" spans="2:10" x14ac:dyDescent="0.25">
      <c r="B247" t="s">
        <v>1979</v>
      </c>
      <c r="C247" t="s">
        <v>352</v>
      </c>
      <c r="D247" t="s">
        <v>1380</v>
      </c>
      <c r="E247" t="s">
        <v>1381</v>
      </c>
      <c r="F247">
        <v>40</v>
      </c>
      <c r="G247" t="s">
        <v>2350</v>
      </c>
      <c r="H247" t="s">
        <v>1691</v>
      </c>
      <c r="I247" t="s">
        <v>2342</v>
      </c>
      <c r="J247" t="s">
        <v>2247</v>
      </c>
    </row>
    <row r="248" spans="2:10" x14ac:dyDescent="0.25">
      <c r="B248" t="s">
        <v>1979</v>
      </c>
      <c r="C248" t="s">
        <v>145</v>
      </c>
      <c r="D248" t="s">
        <v>225</v>
      </c>
      <c r="E248" t="s">
        <v>226</v>
      </c>
      <c r="F248">
        <v>40</v>
      </c>
      <c r="G248" t="s">
        <v>2352</v>
      </c>
      <c r="H248" t="s">
        <v>1627</v>
      </c>
      <c r="I248" t="s">
        <v>2342</v>
      </c>
      <c r="J248" t="s">
        <v>2247</v>
      </c>
    </row>
    <row r="249" spans="2:10" x14ac:dyDescent="0.25">
      <c r="B249" t="s">
        <v>1979</v>
      </c>
      <c r="C249" t="s">
        <v>145</v>
      </c>
      <c r="D249" t="s">
        <v>974</v>
      </c>
      <c r="E249" t="s">
        <v>975</v>
      </c>
      <c r="F249">
        <v>36</v>
      </c>
      <c r="G249" t="s">
        <v>2350</v>
      </c>
      <c r="H249" t="s">
        <v>1691</v>
      </c>
      <c r="I249" t="s">
        <v>2342</v>
      </c>
      <c r="J249" t="s">
        <v>2247</v>
      </c>
    </row>
    <row r="250" spans="2:10" x14ac:dyDescent="0.25">
      <c r="B250" t="s">
        <v>1979</v>
      </c>
      <c r="C250" t="s">
        <v>145</v>
      </c>
      <c r="D250" t="s">
        <v>225</v>
      </c>
      <c r="E250" t="s">
        <v>226</v>
      </c>
      <c r="F250">
        <v>60</v>
      </c>
      <c r="G250" t="s">
        <v>2350</v>
      </c>
      <c r="H250" t="s">
        <v>1691</v>
      </c>
      <c r="I250" t="s">
        <v>2342</v>
      </c>
      <c r="J250" t="s">
        <v>2247</v>
      </c>
    </row>
    <row r="251" spans="2:10" x14ac:dyDescent="0.25">
      <c r="B251" t="s">
        <v>1979</v>
      </c>
      <c r="C251" t="s">
        <v>55</v>
      </c>
      <c r="D251" t="s">
        <v>492</v>
      </c>
      <c r="E251" t="s">
        <v>493</v>
      </c>
      <c r="F251">
        <v>12</v>
      </c>
      <c r="G251" t="s">
        <v>2351</v>
      </c>
      <c r="H251" t="s">
        <v>1643</v>
      </c>
      <c r="I251" t="s">
        <v>2342</v>
      </c>
      <c r="J251" t="s">
        <v>2247</v>
      </c>
    </row>
    <row r="252" spans="2:10" x14ac:dyDescent="0.25">
      <c r="B252" t="s">
        <v>1979</v>
      </c>
      <c r="C252" t="s">
        <v>209</v>
      </c>
      <c r="D252" t="s">
        <v>850</v>
      </c>
      <c r="E252" t="s">
        <v>851</v>
      </c>
      <c r="F252">
        <v>12</v>
      </c>
      <c r="G252" t="s">
        <v>2351</v>
      </c>
      <c r="H252" t="s">
        <v>1643</v>
      </c>
      <c r="I252" t="s">
        <v>2342</v>
      </c>
      <c r="J252" t="s">
        <v>2247</v>
      </c>
    </row>
    <row r="253" spans="2:10" x14ac:dyDescent="0.25">
      <c r="B253" t="s">
        <v>1979</v>
      </c>
      <c r="C253" t="s">
        <v>209</v>
      </c>
      <c r="D253" t="s">
        <v>850</v>
      </c>
      <c r="E253" t="s">
        <v>851</v>
      </c>
      <c r="F253">
        <v>12</v>
      </c>
      <c r="G253" t="s">
        <v>2350</v>
      </c>
      <c r="H253" t="s">
        <v>1691</v>
      </c>
      <c r="I253" t="s">
        <v>2342</v>
      </c>
      <c r="J253" t="s">
        <v>2247</v>
      </c>
    </row>
    <row r="254" spans="2:10" x14ac:dyDescent="0.25">
      <c r="B254" t="s">
        <v>1979</v>
      </c>
      <c r="C254" t="s">
        <v>52</v>
      </c>
      <c r="D254" t="s">
        <v>592</v>
      </c>
      <c r="E254" t="s">
        <v>593</v>
      </c>
      <c r="F254">
        <v>12</v>
      </c>
      <c r="G254" t="s">
        <v>2351</v>
      </c>
      <c r="H254" t="s">
        <v>1643</v>
      </c>
      <c r="I254" t="s">
        <v>2342</v>
      </c>
      <c r="J254" t="s">
        <v>2247</v>
      </c>
    </row>
    <row r="255" spans="2:10" x14ac:dyDescent="0.25">
      <c r="B255" t="s">
        <v>1979</v>
      </c>
      <c r="C255" t="s">
        <v>551</v>
      </c>
      <c r="D255" t="s">
        <v>1216</v>
      </c>
      <c r="E255" t="s">
        <v>1217</v>
      </c>
      <c r="F255">
        <v>40</v>
      </c>
      <c r="G255" t="s">
        <v>2350</v>
      </c>
      <c r="H255" t="s">
        <v>1691</v>
      </c>
      <c r="I255" t="s">
        <v>2342</v>
      </c>
      <c r="J255" t="s">
        <v>2247</v>
      </c>
    </row>
    <row r="256" spans="2:10" x14ac:dyDescent="0.25">
      <c r="B256" t="s">
        <v>1979</v>
      </c>
      <c r="C256" t="s">
        <v>551</v>
      </c>
      <c r="D256" t="s">
        <v>552</v>
      </c>
      <c r="E256" t="s">
        <v>553</v>
      </c>
      <c r="F256">
        <v>400</v>
      </c>
      <c r="G256" t="s">
        <v>2352</v>
      </c>
      <c r="H256" t="s">
        <v>1627</v>
      </c>
      <c r="I256" t="s">
        <v>2342</v>
      </c>
      <c r="J256" t="s">
        <v>2247</v>
      </c>
    </row>
    <row r="257" spans="2:10" x14ac:dyDescent="0.25">
      <c r="B257" t="s">
        <v>1979</v>
      </c>
      <c r="C257" t="s">
        <v>551</v>
      </c>
      <c r="D257" t="s">
        <v>552</v>
      </c>
      <c r="E257" t="s">
        <v>553</v>
      </c>
      <c r="F257">
        <v>200</v>
      </c>
      <c r="G257" t="s">
        <v>2351</v>
      </c>
      <c r="H257" t="s">
        <v>1643</v>
      </c>
      <c r="I257" t="s">
        <v>2342</v>
      </c>
      <c r="J257" t="s">
        <v>2247</v>
      </c>
    </row>
    <row r="258" spans="2:10" x14ac:dyDescent="0.25">
      <c r="B258" t="s">
        <v>1979</v>
      </c>
      <c r="C258" t="s">
        <v>705</v>
      </c>
      <c r="D258" t="s">
        <v>1230</v>
      </c>
      <c r="E258" t="s">
        <v>1231</v>
      </c>
      <c r="F258">
        <v>12</v>
      </c>
      <c r="G258" t="s">
        <v>2351</v>
      </c>
      <c r="H258" t="s">
        <v>1643</v>
      </c>
      <c r="I258" t="s">
        <v>2342</v>
      </c>
      <c r="J258" t="s">
        <v>2247</v>
      </c>
    </row>
    <row r="259" spans="2:10" x14ac:dyDescent="0.25">
      <c r="B259" t="s">
        <v>1979</v>
      </c>
      <c r="C259" t="s">
        <v>17</v>
      </c>
      <c r="D259" t="s">
        <v>255</v>
      </c>
      <c r="E259" t="s">
        <v>256</v>
      </c>
      <c r="F259">
        <v>800</v>
      </c>
      <c r="G259" t="s">
        <v>2350</v>
      </c>
      <c r="H259" t="s">
        <v>1691</v>
      </c>
      <c r="I259" t="s">
        <v>2342</v>
      </c>
      <c r="J259" t="s">
        <v>2247</v>
      </c>
    </row>
    <row r="260" spans="2:10" x14ac:dyDescent="0.25">
      <c r="B260" t="s">
        <v>1979</v>
      </c>
      <c r="C260" t="s">
        <v>17</v>
      </c>
      <c r="D260" t="s">
        <v>255</v>
      </c>
      <c r="E260" t="s">
        <v>256</v>
      </c>
      <c r="F260">
        <v>800</v>
      </c>
      <c r="G260" t="s">
        <v>2351</v>
      </c>
      <c r="H260" t="s">
        <v>1643</v>
      </c>
      <c r="I260" t="s">
        <v>2342</v>
      </c>
      <c r="J260" t="s">
        <v>2247</v>
      </c>
    </row>
    <row r="261" spans="2:10" x14ac:dyDescent="0.25">
      <c r="B261" t="s">
        <v>1979</v>
      </c>
      <c r="C261" t="s">
        <v>17</v>
      </c>
      <c r="D261" t="s">
        <v>607</v>
      </c>
      <c r="E261" t="s">
        <v>608</v>
      </c>
      <c r="F261">
        <v>200</v>
      </c>
      <c r="G261" t="s">
        <v>2350</v>
      </c>
      <c r="H261" t="s">
        <v>1691</v>
      </c>
      <c r="I261" t="s">
        <v>2342</v>
      </c>
      <c r="J261" t="s">
        <v>2247</v>
      </c>
    </row>
    <row r="262" spans="2:10" x14ac:dyDescent="0.25">
      <c r="B262" t="s">
        <v>1979</v>
      </c>
      <c r="C262" t="s">
        <v>17</v>
      </c>
      <c r="D262" t="s">
        <v>255</v>
      </c>
      <c r="E262" t="s">
        <v>256</v>
      </c>
      <c r="F262">
        <v>800</v>
      </c>
      <c r="G262" t="s">
        <v>2352</v>
      </c>
      <c r="H262" t="s">
        <v>1627</v>
      </c>
      <c r="I262" t="s">
        <v>2342</v>
      </c>
      <c r="J262" t="s">
        <v>2247</v>
      </c>
    </row>
    <row r="263" spans="2:10" x14ac:dyDescent="0.25">
      <c r="B263" t="s">
        <v>1979</v>
      </c>
      <c r="C263" t="s">
        <v>17</v>
      </c>
      <c r="D263" t="s">
        <v>455</v>
      </c>
      <c r="E263" t="s">
        <v>456</v>
      </c>
      <c r="F263">
        <v>24</v>
      </c>
      <c r="G263" t="s">
        <v>2350</v>
      </c>
      <c r="H263" t="s">
        <v>1691</v>
      </c>
      <c r="I263" t="s">
        <v>2342</v>
      </c>
      <c r="J263" t="s">
        <v>2247</v>
      </c>
    </row>
    <row r="264" spans="2:10" x14ac:dyDescent="0.25">
      <c r="B264" t="s">
        <v>1979</v>
      </c>
      <c r="C264" t="s">
        <v>120</v>
      </c>
      <c r="D264" t="s">
        <v>1014</v>
      </c>
      <c r="E264" t="s">
        <v>1015</v>
      </c>
      <c r="F264">
        <v>12</v>
      </c>
      <c r="G264" t="s">
        <v>2351</v>
      </c>
      <c r="H264" t="s">
        <v>1643</v>
      </c>
      <c r="I264" t="s">
        <v>2342</v>
      </c>
      <c r="J264" t="s">
        <v>2247</v>
      </c>
    </row>
    <row r="265" spans="2:10" x14ac:dyDescent="0.25">
      <c r="B265" t="s">
        <v>1979</v>
      </c>
      <c r="C265" t="s">
        <v>120</v>
      </c>
      <c r="D265" t="s">
        <v>1014</v>
      </c>
      <c r="E265" t="s">
        <v>1015</v>
      </c>
      <c r="F265">
        <v>12</v>
      </c>
      <c r="G265" t="s">
        <v>2353</v>
      </c>
      <c r="H265" t="s">
        <v>1614</v>
      </c>
      <c r="I265" t="s">
        <v>2342</v>
      </c>
      <c r="J265" t="s">
        <v>2354</v>
      </c>
    </row>
    <row r="266" spans="2:10" x14ac:dyDescent="0.25">
      <c r="B266" t="s">
        <v>1979</v>
      </c>
      <c r="C266" t="s">
        <v>551</v>
      </c>
      <c r="D266" t="s">
        <v>552</v>
      </c>
      <c r="E266" t="s">
        <v>553</v>
      </c>
      <c r="F266">
        <v>140</v>
      </c>
      <c r="G266" t="s">
        <v>2353</v>
      </c>
      <c r="H266" t="s">
        <v>1614</v>
      </c>
      <c r="I266" t="s">
        <v>2342</v>
      </c>
      <c r="J266" t="s">
        <v>2354</v>
      </c>
    </row>
    <row r="267" spans="2:10" x14ac:dyDescent="0.25">
      <c r="B267" t="s">
        <v>1979</v>
      </c>
      <c r="C267" t="s">
        <v>20</v>
      </c>
      <c r="D267" t="s">
        <v>173</v>
      </c>
      <c r="E267" t="s">
        <v>174</v>
      </c>
      <c r="F267">
        <v>12</v>
      </c>
      <c r="G267" t="s">
        <v>2353</v>
      </c>
      <c r="H267" t="s">
        <v>1614</v>
      </c>
      <c r="I267" t="s">
        <v>2342</v>
      </c>
      <c r="J267" t="s">
        <v>2354</v>
      </c>
    </row>
    <row r="268" spans="2:10" x14ac:dyDescent="0.25">
      <c r="B268" t="s">
        <v>1979</v>
      </c>
      <c r="C268" t="s">
        <v>705</v>
      </c>
      <c r="D268" t="s">
        <v>1230</v>
      </c>
      <c r="E268" t="s">
        <v>1231</v>
      </c>
      <c r="F268">
        <v>12</v>
      </c>
      <c r="G268" t="s">
        <v>2353</v>
      </c>
      <c r="H268" t="s">
        <v>1614</v>
      </c>
      <c r="I268" t="s">
        <v>2342</v>
      </c>
      <c r="J268" t="s">
        <v>2354</v>
      </c>
    </row>
    <row r="269" spans="2:10" x14ac:dyDescent="0.25">
      <c r="B269" t="s">
        <v>1979</v>
      </c>
      <c r="C269" t="s">
        <v>551</v>
      </c>
      <c r="D269" t="s">
        <v>1216</v>
      </c>
      <c r="E269" t="s">
        <v>1217</v>
      </c>
      <c r="F269">
        <v>40</v>
      </c>
      <c r="G269" t="s">
        <v>2353</v>
      </c>
      <c r="H269" t="s">
        <v>1614</v>
      </c>
      <c r="I269" t="s">
        <v>2342</v>
      </c>
      <c r="J269" t="s">
        <v>2354</v>
      </c>
    </row>
    <row r="270" spans="2:10" x14ac:dyDescent="0.25">
      <c r="B270" t="s">
        <v>1979</v>
      </c>
      <c r="C270" t="s">
        <v>52</v>
      </c>
      <c r="D270" t="s">
        <v>592</v>
      </c>
      <c r="E270" t="s">
        <v>593</v>
      </c>
      <c r="F270">
        <v>12</v>
      </c>
      <c r="G270" t="s">
        <v>2353</v>
      </c>
      <c r="H270" t="s">
        <v>1614</v>
      </c>
      <c r="I270" t="s">
        <v>2342</v>
      </c>
      <c r="J270" t="s">
        <v>2354</v>
      </c>
    </row>
    <row r="271" spans="2:10" x14ac:dyDescent="0.25">
      <c r="B271" t="s">
        <v>1979</v>
      </c>
      <c r="C271" t="s">
        <v>209</v>
      </c>
      <c r="D271" t="s">
        <v>850</v>
      </c>
      <c r="E271" t="s">
        <v>851</v>
      </c>
      <c r="F271">
        <v>12</v>
      </c>
      <c r="G271" t="s">
        <v>2353</v>
      </c>
      <c r="H271" t="s">
        <v>1614</v>
      </c>
      <c r="I271" t="s">
        <v>2342</v>
      </c>
      <c r="J271" t="s">
        <v>2354</v>
      </c>
    </row>
    <row r="272" spans="2:10" x14ac:dyDescent="0.25">
      <c r="B272" t="s">
        <v>1979</v>
      </c>
      <c r="C272" t="s">
        <v>55</v>
      </c>
      <c r="D272" t="s">
        <v>492</v>
      </c>
      <c r="E272" t="s">
        <v>493</v>
      </c>
      <c r="F272">
        <v>12</v>
      </c>
      <c r="G272" t="s">
        <v>2353</v>
      </c>
      <c r="H272" t="s">
        <v>1614</v>
      </c>
      <c r="I272" t="s">
        <v>2342</v>
      </c>
      <c r="J272" t="s">
        <v>2354</v>
      </c>
    </row>
    <row r="273" spans="2:10" x14ac:dyDescent="0.25">
      <c r="B273" t="s">
        <v>1979</v>
      </c>
      <c r="C273" t="s">
        <v>145</v>
      </c>
      <c r="D273" t="s">
        <v>225</v>
      </c>
      <c r="E273" t="s">
        <v>226</v>
      </c>
      <c r="F273">
        <v>100</v>
      </c>
      <c r="G273" t="s">
        <v>2353</v>
      </c>
      <c r="H273" t="s">
        <v>1614</v>
      </c>
      <c r="I273" t="s">
        <v>2342</v>
      </c>
      <c r="J273" t="s">
        <v>2354</v>
      </c>
    </row>
    <row r="274" spans="2:10" x14ac:dyDescent="0.25">
      <c r="B274" t="s">
        <v>1979</v>
      </c>
      <c r="C274" t="s">
        <v>145</v>
      </c>
      <c r="D274" t="s">
        <v>974</v>
      </c>
      <c r="E274" t="s">
        <v>975</v>
      </c>
      <c r="F274">
        <v>48</v>
      </c>
      <c r="G274" t="s">
        <v>2353</v>
      </c>
      <c r="H274" t="s">
        <v>1614</v>
      </c>
      <c r="I274" t="s">
        <v>2342</v>
      </c>
      <c r="J274" t="s">
        <v>2354</v>
      </c>
    </row>
    <row r="275" spans="2:10" x14ac:dyDescent="0.25">
      <c r="B275" t="s">
        <v>1979</v>
      </c>
      <c r="C275" t="s">
        <v>11</v>
      </c>
      <c r="D275" t="s">
        <v>1324</v>
      </c>
      <c r="E275" t="s">
        <v>1325</v>
      </c>
      <c r="F275">
        <v>12</v>
      </c>
      <c r="G275" t="s">
        <v>2353</v>
      </c>
      <c r="H275" t="s">
        <v>1614</v>
      </c>
      <c r="I275" t="s">
        <v>2342</v>
      </c>
      <c r="J275" t="s">
        <v>2354</v>
      </c>
    </row>
    <row r="276" spans="2:10" x14ac:dyDescent="0.25">
      <c r="B276" t="s">
        <v>1979</v>
      </c>
      <c r="C276" t="s">
        <v>623</v>
      </c>
      <c r="D276" t="s">
        <v>813</v>
      </c>
      <c r="E276" t="s">
        <v>814</v>
      </c>
      <c r="F276">
        <v>12</v>
      </c>
      <c r="G276" t="s">
        <v>2353</v>
      </c>
      <c r="H276" t="s">
        <v>1614</v>
      </c>
      <c r="I276" t="s">
        <v>2342</v>
      </c>
      <c r="J276" t="s">
        <v>2354</v>
      </c>
    </row>
    <row r="277" spans="2:10" x14ac:dyDescent="0.25">
      <c r="B277" t="s">
        <v>1979</v>
      </c>
      <c r="C277" t="s">
        <v>352</v>
      </c>
      <c r="D277" t="s">
        <v>1065</v>
      </c>
      <c r="E277" t="s">
        <v>1066</v>
      </c>
      <c r="F277">
        <v>12</v>
      </c>
      <c r="G277" t="s">
        <v>2353</v>
      </c>
      <c r="H277" t="s">
        <v>1614</v>
      </c>
      <c r="I277" t="s">
        <v>2342</v>
      </c>
      <c r="J277" t="s">
        <v>2354</v>
      </c>
    </row>
    <row r="278" spans="2:10" x14ac:dyDescent="0.25">
      <c r="B278" t="s">
        <v>1979</v>
      </c>
      <c r="C278" t="s">
        <v>8</v>
      </c>
      <c r="D278" t="s">
        <v>605</v>
      </c>
      <c r="E278" t="s">
        <v>606</v>
      </c>
      <c r="F278">
        <v>3000</v>
      </c>
      <c r="G278" t="s">
        <v>2355</v>
      </c>
      <c r="H278" t="s">
        <v>1646</v>
      </c>
      <c r="I278" t="s">
        <v>2246</v>
      </c>
      <c r="J278" t="s">
        <v>2247</v>
      </c>
    </row>
    <row r="279" spans="2:10" x14ac:dyDescent="0.25">
      <c r="B279" t="s">
        <v>1979</v>
      </c>
      <c r="C279" t="s">
        <v>8</v>
      </c>
      <c r="D279" t="s">
        <v>605</v>
      </c>
      <c r="E279" t="s">
        <v>606</v>
      </c>
      <c r="F279">
        <v>3500</v>
      </c>
      <c r="G279" t="s">
        <v>2356</v>
      </c>
      <c r="H279" t="s">
        <v>1646</v>
      </c>
      <c r="I279" t="s">
        <v>2246</v>
      </c>
      <c r="J279" t="s">
        <v>2247</v>
      </c>
    </row>
    <row r="280" spans="2:10" x14ac:dyDescent="0.25">
      <c r="B280" t="s">
        <v>1979</v>
      </c>
      <c r="C280" t="s">
        <v>80</v>
      </c>
      <c r="D280" t="s">
        <v>240</v>
      </c>
      <c r="E280" t="s">
        <v>241</v>
      </c>
      <c r="F280">
        <v>700</v>
      </c>
      <c r="G280" t="s">
        <v>2357</v>
      </c>
      <c r="H280" t="s">
        <v>1773</v>
      </c>
      <c r="I280" t="s">
        <v>2246</v>
      </c>
      <c r="J280" t="s">
        <v>2247</v>
      </c>
    </row>
    <row r="281" spans="2:10" x14ac:dyDescent="0.25">
      <c r="B281" t="s">
        <v>1979</v>
      </c>
      <c r="C281" t="s">
        <v>25</v>
      </c>
      <c r="D281" t="s">
        <v>470</v>
      </c>
      <c r="E281" t="s">
        <v>471</v>
      </c>
      <c r="F281">
        <v>300</v>
      </c>
      <c r="G281" t="s">
        <v>2361</v>
      </c>
      <c r="H281" t="s">
        <v>2148</v>
      </c>
      <c r="I281" t="s">
        <v>2246</v>
      </c>
      <c r="J281" t="s">
        <v>2247</v>
      </c>
    </row>
    <row r="282" spans="2:10" x14ac:dyDescent="0.25">
      <c r="B282" t="s">
        <v>1979</v>
      </c>
      <c r="C282" t="s">
        <v>25</v>
      </c>
      <c r="D282" t="s">
        <v>470</v>
      </c>
      <c r="E282" t="s">
        <v>471</v>
      </c>
      <c r="F282">
        <v>24</v>
      </c>
      <c r="G282" t="s">
        <v>2517</v>
      </c>
      <c r="H282" t="s">
        <v>1646</v>
      </c>
      <c r="I282" t="s">
        <v>2246</v>
      </c>
      <c r="J282" t="s">
        <v>2247</v>
      </c>
    </row>
    <row r="283" spans="2:10" x14ac:dyDescent="0.25">
      <c r="B283" t="s">
        <v>1979</v>
      </c>
      <c r="C283" t="s">
        <v>25</v>
      </c>
      <c r="D283" t="s">
        <v>470</v>
      </c>
      <c r="E283" t="s">
        <v>471</v>
      </c>
      <c r="F283">
        <v>120</v>
      </c>
      <c r="G283" t="s">
        <v>2362</v>
      </c>
      <c r="H283" t="s">
        <v>1622</v>
      </c>
      <c r="I283" t="s">
        <v>2246</v>
      </c>
      <c r="J283" t="s">
        <v>2247</v>
      </c>
    </row>
    <row r="284" spans="2:10" x14ac:dyDescent="0.25">
      <c r="B284" t="s">
        <v>1979</v>
      </c>
      <c r="C284" t="s">
        <v>40</v>
      </c>
      <c r="D284" t="s">
        <v>41</v>
      </c>
      <c r="E284" t="s">
        <v>42</v>
      </c>
      <c r="F284">
        <v>408</v>
      </c>
      <c r="G284" t="s">
        <v>2357</v>
      </c>
      <c r="H284" t="s">
        <v>1773</v>
      </c>
      <c r="I284" t="s">
        <v>2246</v>
      </c>
      <c r="J284" t="s">
        <v>2247</v>
      </c>
    </row>
    <row r="285" spans="2:10" x14ac:dyDescent="0.25">
      <c r="B285" t="s">
        <v>1979</v>
      </c>
      <c r="C285" t="s">
        <v>17</v>
      </c>
      <c r="D285" t="s">
        <v>255</v>
      </c>
      <c r="E285" t="s">
        <v>256</v>
      </c>
      <c r="F285">
        <v>2660</v>
      </c>
      <c r="G285" t="s">
        <v>2360</v>
      </c>
      <c r="H285" t="s">
        <v>1773</v>
      </c>
      <c r="I285" t="s">
        <v>2246</v>
      </c>
      <c r="J285" t="s">
        <v>2247</v>
      </c>
    </row>
    <row r="286" spans="2:10" x14ac:dyDescent="0.25">
      <c r="B286" t="s">
        <v>1979</v>
      </c>
      <c r="C286" t="s">
        <v>17</v>
      </c>
      <c r="D286" t="s">
        <v>255</v>
      </c>
      <c r="E286" t="s">
        <v>256</v>
      </c>
      <c r="F286">
        <v>340</v>
      </c>
      <c r="G286" t="s">
        <v>2360</v>
      </c>
      <c r="H286" t="s">
        <v>1773</v>
      </c>
      <c r="I286" t="s">
        <v>2246</v>
      </c>
      <c r="J286" t="s">
        <v>2247</v>
      </c>
    </row>
    <row r="287" spans="2:10" x14ac:dyDescent="0.25">
      <c r="B287" t="s">
        <v>1979</v>
      </c>
      <c r="C287" t="s">
        <v>8</v>
      </c>
      <c r="D287" t="s">
        <v>605</v>
      </c>
      <c r="E287" t="s">
        <v>606</v>
      </c>
      <c r="F287">
        <v>4000</v>
      </c>
      <c r="G287" t="s">
        <v>2357</v>
      </c>
      <c r="H287" t="s">
        <v>1773</v>
      </c>
      <c r="I287" t="s">
        <v>2246</v>
      </c>
      <c r="J287" t="s">
        <v>2247</v>
      </c>
    </row>
    <row r="288" spans="2:10" x14ac:dyDescent="0.25">
      <c r="B288" t="s">
        <v>1979</v>
      </c>
      <c r="C288" t="s">
        <v>272</v>
      </c>
      <c r="D288" t="s">
        <v>574</v>
      </c>
      <c r="E288" t="s">
        <v>575</v>
      </c>
      <c r="F288">
        <v>500</v>
      </c>
      <c r="G288" t="s">
        <v>2357</v>
      </c>
      <c r="H288" t="s">
        <v>1773</v>
      </c>
      <c r="I288" t="s">
        <v>2246</v>
      </c>
      <c r="J288" t="s">
        <v>2247</v>
      </c>
    </row>
    <row r="289" spans="2:10" x14ac:dyDescent="0.25">
      <c r="B289" t="s">
        <v>1979</v>
      </c>
      <c r="C289" t="s">
        <v>120</v>
      </c>
      <c r="D289" t="s">
        <v>540</v>
      </c>
      <c r="E289" t="s">
        <v>541</v>
      </c>
      <c r="F289">
        <v>2120</v>
      </c>
      <c r="G289" t="s">
        <v>2358</v>
      </c>
      <c r="H289" t="s">
        <v>1773</v>
      </c>
      <c r="I289" t="s">
        <v>2246</v>
      </c>
      <c r="J289" t="s">
        <v>2247</v>
      </c>
    </row>
    <row r="290" spans="2:10" x14ac:dyDescent="0.25">
      <c r="B290" t="s">
        <v>1979</v>
      </c>
      <c r="C290" t="s">
        <v>134</v>
      </c>
      <c r="D290" t="s">
        <v>903</v>
      </c>
      <c r="E290" t="s">
        <v>904</v>
      </c>
      <c r="F290">
        <v>360</v>
      </c>
      <c r="G290" t="s">
        <v>2359</v>
      </c>
      <c r="H290" t="s">
        <v>1646</v>
      </c>
      <c r="I290" t="s">
        <v>2246</v>
      </c>
      <c r="J290" t="s">
        <v>2247</v>
      </c>
    </row>
    <row r="291" spans="2:10" x14ac:dyDescent="0.25">
      <c r="B291" t="s">
        <v>1979</v>
      </c>
      <c r="C291" t="s">
        <v>17</v>
      </c>
      <c r="D291" t="s">
        <v>255</v>
      </c>
      <c r="E291" t="s">
        <v>256</v>
      </c>
      <c r="F291">
        <v>120</v>
      </c>
      <c r="G291" t="s">
        <v>2363</v>
      </c>
      <c r="H291" t="s">
        <v>1720</v>
      </c>
      <c r="I291" t="s">
        <v>2297</v>
      </c>
      <c r="J291" t="s">
        <v>2247</v>
      </c>
    </row>
    <row r="292" spans="2:10" x14ac:dyDescent="0.25">
      <c r="B292" t="s">
        <v>1979</v>
      </c>
      <c r="C292" t="s">
        <v>209</v>
      </c>
      <c r="D292" t="s">
        <v>965</v>
      </c>
      <c r="E292" t="s">
        <v>966</v>
      </c>
      <c r="F292">
        <v>40</v>
      </c>
      <c r="G292" t="s">
        <v>2363</v>
      </c>
      <c r="H292" t="s">
        <v>1720</v>
      </c>
      <c r="I292" t="s">
        <v>2297</v>
      </c>
      <c r="J292" t="s">
        <v>2247</v>
      </c>
    </row>
    <row r="293" spans="2:10" x14ac:dyDescent="0.25">
      <c r="B293" t="s">
        <v>1979</v>
      </c>
      <c r="C293" t="s">
        <v>209</v>
      </c>
      <c r="D293" t="s">
        <v>210</v>
      </c>
      <c r="E293" t="s">
        <v>211</v>
      </c>
      <c r="F293">
        <v>40</v>
      </c>
      <c r="G293" t="s">
        <v>2363</v>
      </c>
      <c r="H293" t="s">
        <v>1720</v>
      </c>
      <c r="I293" t="s">
        <v>2297</v>
      </c>
      <c r="J293" t="s">
        <v>2247</v>
      </c>
    </row>
    <row r="294" spans="2:10" x14ac:dyDescent="0.25">
      <c r="B294" t="s">
        <v>1979</v>
      </c>
      <c r="C294" t="s">
        <v>352</v>
      </c>
      <c r="D294" t="s">
        <v>1065</v>
      </c>
      <c r="E294" t="s">
        <v>1066</v>
      </c>
      <c r="F294">
        <v>240</v>
      </c>
      <c r="G294" t="s">
        <v>2364</v>
      </c>
      <c r="H294" t="s">
        <v>1736</v>
      </c>
      <c r="I294" t="s">
        <v>2329</v>
      </c>
      <c r="J294" t="s">
        <v>2247</v>
      </c>
    </row>
    <row r="295" spans="2:10" x14ac:dyDescent="0.25">
      <c r="B295" t="s">
        <v>1979</v>
      </c>
      <c r="C295" t="s">
        <v>352</v>
      </c>
      <c r="D295" t="s">
        <v>1065</v>
      </c>
      <c r="E295" t="s">
        <v>1066</v>
      </c>
      <c r="F295">
        <v>240</v>
      </c>
      <c r="G295" t="s">
        <v>2365</v>
      </c>
      <c r="H295" t="s">
        <v>1627</v>
      </c>
      <c r="I295" t="s">
        <v>2329</v>
      </c>
      <c r="J295" t="s">
        <v>2247</v>
      </c>
    </row>
    <row r="296" spans="2:10" x14ac:dyDescent="0.25">
      <c r="B296" t="s">
        <v>1979</v>
      </c>
      <c r="C296" t="s">
        <v>145</v>
      </c>
      <c r="D296" t="s">
        <v>974</v>
      </c>
      <c r="E296" t="s">
        <v>975</v>
      </c>
      <c r="F296">
        <v>120</v>
      </c>
      <c r="G296" t="s">
        <v>2364</v>
      </c>
      <c r="H296" t="s">
        <v>1736</v>
      </c>
      <c r="I296" t="s">
        <v>2329</v>
      </c>
      <c r="J296" t="s">
        <v>2247</v>
      </c>
    </row>
    <row r="297" spans="2:10" x14ac:dyDescent="0.25">
      <c r="B297" t="s">
        <v>1979</v>
      </c>
      <c r="C297" t="s">
        <v>17</v>
      </c>
      <c r="D297" t="s">
        <v>607</v>
      </c>
      <c r="E297" t="s">
        <v>608</v>
      </c>
      <c r="F297">
        <v>300</v>
      </c>
      <c r="G297" t="s">
        <v>2364</v>
      </c>
      <c r="H297" t="s">
        <v>1736</v>
      </c>
      <c r="I297" t="s">
        <v>2329</v>
      </c>
      <c r="J297" t="s">
        <v>2247</v>
      </c>
    </row>
    <row r="298" spans="2:10" x14ac:dyDescent="0.25">
      <c r="B298" t="s">
        <v>1979</v>
      </c>
      <c r="C298" t="s">
        <v>17</v>
      </c>
      <c r="D298" t="s">
        <v>255</v>
      </c>
      <c r="E298" t="s">
        <v>256</v>
      </c>
      <c r="F298">
        <v>240</v>
      </c>
      <c r="G298" t="s">
        <v>2365</v>
      </c>
      <c r="H298" t="s">
        <v>1627</v>
      </c>
      <c r="I298" t="s">
        <v>2329</v>
      </c>
      <c r="J298" t="s">
        <v>2247</v>
      </c>
    </row>
    <row r="299" spans="2:10" x14ac:dyDescent="0.25">
      <c r="B299" t="s">
        <v>1979</v>
      </c>
      <c r="C299" t="s">
        <v>28</v>
      </c>
      <c r="D299" t="s">
        <v>1472</v>
      </c>
      <c r="E299" t="s">
        <v>1473</v>
      </c>
      <c r="F299">
        <v>540</v>
      </c>
      <c r="G299" t="s">
        <v>2365</v>
      </c>
      <c r="H299" t="s">
        <v>1627</v>
      </c>
      <c r="I299" t="s">
        <v>2329</v>
      </c>
      <c r="J299" t="s">
        <v>2247</v>
      </c>
    </row>
    <row r="300" spans="2:10" x14ac:dyDescent="0.25">
      <c r="B300" t="s">
        <v>1979</v>
      </c>
      <c r="C300" t="s">
        <v>20</v>
      </c>
      <c r="D300" t="s">
        <v>459</v>
      </c>
      <c r="E300" t="s">
        <v>460</v>
      </c>
      <c r="F300">
        <v>60</v>
      </c>
      <c r="G300" t="s">
        <v>2366</v>
      </c>
      <c r="H300" t="s">
        <v>1629</v>
      </c>
      <c r="I300" t="s">
        <v>2367</v>
      </c>
      <c r="J300" t="s">
        <v>2247</v>
      </c>
    </row>
    <row r="301" spans="2:10" x14ac:dyDescent="0.25">
      <c r="B301" t="s">
        <v>1979</v>
      </c>
      <c r="C301" t="s">
        <v>623</v>
      </c>
      <c r="D301" t="s">
        <v>871</v>
      </c>
      <c r="E301" t="s">
        <v>872</v>
      </c>
      <c r="F301">
        <v>200</v>
      </c>
      <c r="G301" t="s">
        <v>2366</v>
      </c>
      <c r="H301" t="s">
        <v>1629</v>
      </c>
      <c r="I301" t="s">
        <v>2367</v>
      </c>
      <c r="J301" t="s">
        <v>2247</v>
      </c>
    </row>
    <row r="302" spans="2:10" x14ac:dyDescent="0.25">
      <c r="B302" t="s">
        <v>1979</v>
      </c>
      <c r="C302" t="s">
        <v>20</v>
      </c>
      <c r="D302" t="s">
        <v>459</v>
      </c>
      <c r="E302" t="s">
        <v>460</v>
      </c>
      <c r="F302">
        <v>100</v>
      </c>
      <c r="G302" t="s">
        <v>2368</v>
      </c>
      <c r="H302" t="s">
        <v>1629</v>
      </c>
      <c r="I302" t="s">
        <v>2329</v>
      </c>
      <c r="J302" t="s">
        <v>2247</v>
      </c>
    </row>
    <row r="303" spans="2:10" x14ac:dyDescent="0.25">
      <c r="B303" t="s">
        <v>1979</v>
      </c>
      <c r="C303" t="s">
        <v>8</v>
      </c>
      <c r="D303" t="s">
        <v>605</v>
      </c>
      <c r="E303" t="s">
        <v>606</v>
      </c>
      <c r="F303">
        <v>4400</v>
      </c>
      <c r="G303" t="s">
        <v>2369</v>
      </c>
      <c r="H303" t="s">
        <v>1773</v>
      </c>
      <c r="I303" t="s">
        <v>2246</v>
      </c>
      <c r="J303" t="s">
        <v>2247</v>
      </c>
    </row>
    <row r="304" spans="2:10" x14ac:dyDescent="0.25">
      <c r="B304" t="s">
        <v>1979</v>
      </c>
      <c r="C304" t="s">
        <v>8</v>
      </c>
      <c r="D304" t="s">
        <v>605</v>
      </c>
      <c r="E304" t="s">
        <v>606</v>
      </c>
      <c r="F304">
        <v>600</v>
      </c>
      <c r="G304" t="s">
        <v>2369</v>
      </c>
      <c r="H304" t="s">
        <v>1773</v>
      </c>
      <c r="I304" t="s">
        <v>2246</v>
      </c>
      <c r="J304" t="s">
        <v>2247</v>
      </c>
    </row>
    <row r="305" spans="2:10" x14ac:dyDescent="0.25">
      <c r="B305" t="s">
        <v>1979</v>
      </c>
      <c r="C305" t="s">
        <v>25</v>
      </c>
      <c r="D305" t="s">
        <v>470</v>
      </c>
      <c r="E305" t="s">
        <v>471</v>
      </c>
      <c r="F305">
        <v>360</v>
      </c>
      <c r="G305" t="s">
        <v>2369</v>
      </c>
      <c r="H305" t="s">
        <v>1773</v>
      </c>
      <c r="I305" t="s">
        <v>2246</v>
      </c>
      <c r="J305" t="s">
        <v>2247</v>
      </c>
    </row>
    <row r="306" spans="2:10" x14ac:dyDescent="0.25">
      <c r="B306" t="s">
        <v>1979</v>
      </c>
      <c r="C306" t="s">
        <v>61</v>
      </c>
      <c r="D306" t="s">
        <v>231</v>
      </c>
      <c r="E306" t="s">
        <v>232</v>
      </c>
      <c r="F306">
        <v>1000</v>
      </c>
      <c r="G306" t="s">
        <v>2369</v>
      </c>
      <c r="H306" t="s">
        <v>1773</v>
      </c>
      <c r="I306" t="s">
        <v>2246</v>
      </c>
      <c r="J306" t="s">
        <v>2247</v>
      </c>
    </row>
    <row r="307" spans="2:10" x14ac:dyDescent="0.25">
      <c r="B307" t="s">
        <v>1979</v>
      </c>
      <c r="C307" t="s">
        <v>61</v>
      </c>
      <c r="D307" t="s">
        <v>231</v>
      </c>
      <c r="E307" t="s">
        <v>232</v>
      </c>
      <c r="F307">
        <v>100</v>
      </c>
      <c r="G307" t="s">
        <v>2372</v>
      </c>
      <c r="H307" t="s">
        <v>1643</v>
      </c>
      <c r="I307" t="s">
        <v>2329</v>
      </c>
      <c r="J307" t="s">
        <v>2247</v>
      </c>
    </row>
    <row r="308" spans="2:10" x14ac:dyDescent="0.25">
      <c r="B308" t="s">
        <v>1979</v>
      </c>
      <c r="C308" t="s">
        <v>11</v>
      </c>
      <c r="D308" t="s">
        <v>1326</v>
      </c>
      <c r="E308" t="s">
        <v>1327</v>
      </c>
      <c r="F308">
        <v>500</v>
      </c>
      <c r="G308" t="s">
        <v>2378</v>
      </c>
      <c r="H308" t="s">
        <v>1681</v>
      </c>
      <c r="I308" t="s">
        <v>2329</v>
      </c>
      <c r="J308" t="s">
        <v>2247</v>
      </c>
    </row>
    <row r="309" spans="2:10" x14ac:dyDescent="0.25">
      <c r="B309" t="s">
        <v>1979</v>
      </c>
      <c r="C309" t="s">
        <v>11</v>
      </c>
      <c r="D309" t="s">
        <v>1326</v>
      </c>
      <c r="E309" t="s">
        <v>1327</v>
      </c>
      <c r="F309">
        <v>200</v>
      </c>
      <c r="G309" t="s">
        <v>2370</v>
      </c>
      <c r="H309" t="s">
        <v>1736</v>
      </c>
      <c r="I309" t="s">
        <v>2329</v>
      </c>
      <c r="J309" t="s">
        <v>2247</v>
      </c>
    </row>
    <row r="310" spans="2:10" x14ac:dyDescent="0.25">
      <c r="B310" t="s">
        <v>1979</v>
      </c>
      <c r="C310" t="s">
        <v>11</v>
      </c>
      <c r="D310" t="s">
        <v>1326</v>
      </c>
      <c r="E310" t="s">
        <v>1327</v>
      </c>
      <c r="F310">
        <v>300</v>
      </c>
      <c r="G310" t="s">
        <v>2373</v>
      </c>
      <c r="H310" t="s">
        <v>1736</v>
      </c>
      <c r="I310" t="s">
        <v>2329</v>
      </c>
      <c r="J310" t="s">
        <v>2247</v>
      </c>
    </row>
    <row r="311" spans="2:10" x14ac:dyDescent="0.25">
      <c r="B311" t="s">
        <v>1979</v>
      </c>
      <c r="C311" t="s">
        <v>11</v>
      </c>
      <c r="D311" t="s">
        <v>1326</v>
      </c>
      <c r="E311" t="s">
        <v>1327</v>
      </c>
      <c r="F311">
        <v>200</v>
      </c>
      <c r="G311" t="s">
        <v>2374</v>
      </c>
      <c r="H311" t="s">
        <v>1614</v>
      </c>
      <c r="I311" t="s">
        <v>2329</v>
      </c>
      <c r="J311" t="s">
        <v>2247</v>
      </c>
    </row>
    <row r="312" spans="2:10" x14ac:dyDescent="0.25">
      <c r="B312" t="s">
        <v>1979</v>
      </c>
      <c r="C312" t="s">
        <v>11</v>
      </c>
      <c r="D312" t="s">
        <v>1324</v>
      </c>
      <c r="E312" t="s">
        <v>1325</v>
      </c>
      <c r="F312">
        <v>24</v>
      </c>
      <c r="G312" t="s">
        <v>2374</v>
      </c>
      <c r="H312" t="s">
        <v>1614</v>
      </c>
      <c r="I312" t="s">
        <v>2329</v>
      </c>
      <c r="J312" t="s">
        <v>2247</v>
      </c>
    </row>
    <row r="313" spans="2:10" x14ac:dyDescent="0.25">
      <c r="B313" t="s">
        <v>1979</v>
      </c>
      <c r="C313" t="s">
        <v>11</v>
      </c>
      <c r="D313" t="s">
        <v>1324</v>
      </c>
      <c r="E313" t="s">
        <v>1325</v>
      </c>
      <c r="F313">
        <v>60</v>
      </c>
      <c r="G313" t="s">
        <v>2370</v>
      </c>
      <c r="H313" t="s">
        <v>1736</v>
      </c>
      <c r="I313" t="s">
        <v>2329</v>
      </c>
      <c r="J313" t="s">
        <v>2247</v>
      </c>
    </row>
    <row r="314" spans="2:10" x14ac:dyDescent="0.25">
      <c r="B314" t="s">
        <v>1979</v>
      </c>
      <c r="C314" t="s">
        <v>11</v>
      </c>
      <c r="D314" t="s">
        <v>1388</v>
      </c>
      <c r="E314" t="s">
        <v>1389</v>
      </c>
      <c r="F314">
        <v>200</v>
      </c>
      <c r="G314" t="s">
        <v>2374</v>
      </c>
      <c r="H314" t="s">
        <v>1614</v>
      </c>
      <c r="I314" t="s">
        <v>2329</v>
      </c>
      <c r="J314" t="s">
        <v>2247</v>
      </c>
    </row>
    <row r="315" spans="2:10" x14ac:dyDescent="0.25">
      <c r="B315" t="s">
        <v>1979</v>
      </c>
      <c r="C315" t="s">
        <v>145</v>
      </c>
      <c r="D315" t="s">
        <v>974</v>
      </c>
      <c r="E315" t="s">
        <v>975</v>
      </c>
      <c r="F315">
        <v>60</v>
      </c>
      <c r="G315" t="s">
        <v>2370</v>
      </c>
      <c r="H315" t="s">
        <v>1736</v>
      </c>
      <c r="I315" t="s">
        <v>2329</v>
      </c>
      <c r="J315" t="s">
        <v>2247</v>
      </c>
    </row>
    <row r="316" spans="2:10" x14ac:dyDescent="0.25">
      <c r="B316" t="s">
        <v>1979</v>
      </c>
      <c r="C316" t="s">
        <v>145</v>
      </c>
      <c r="D316" t="s">
        <v>146</v>
      </c>
      <c r="E316" t="s">
        <v>147</v>
      </c>
      <c r="F316">
        <v>500</v>
      </c>
      <c r="G316" t="s">
        <v>2378</v>
      </c>
      <c r="H316" t="s">
        <v>1681</v>
      </c>
      <c r="I316" t="s">
        <v>2329</v>
      </c>
      <c r="J316" t="s">
        <v>2247</v>
      </c>
    </row>
    <row r="317" spans="2:10" x14ac:dyDescent="0.25">
      <c r="B317" t="s">
        <v>1979</v>
      </c>
      <c r="C317" t="s">
        <v>61</v>
      </c>
      <c r="D317" t="s">
        <v>231</v>
      </c>
      <c r="E317" t="s">
        <v>232</v>
      </c>
      <c r="F317">
        <v>200</v>
      </c>
      <c r="G317" t="s">
        <v>2370</v>
      </c>
      <c r="H317" t="s">
        <v>1736</v>
      </c>
      <c r="I317" t="s">
        <v>2329</v>
      </c>
      <c r="J317" t="s">
        <v>2247</v>
      </c>
    </row>
    <row r="318" spans="2:10" x14ac:dyDescent="0.25">
      <c r="B318" t="s">
        <v>1979</v>
      </c>
      <c r="C318" t="s">
        <v>61</v>
      </c>
      <c r="D318" t="s">
        <v>231</v>
      </c>
      <c r="E318" t="s">
        <v>232</v>
      </c>
      <c r="F318">
        <v>300</v>
      </c>
      <c r="G318" t="s">
        <v>2377</v>
      </c>
      <c r="H318" t="s">
        <v>1736</v>
      </c>
      <c r="I318" t="s">
        <v>2329</v>
      </c>
      <c r="J318" t="s">
        <v>2247</v>
      </c>
    </row>
    <row r="319" spans="2:10" x14ac:dyDescent="0.25">
      <c r="B319" t="s">
        <v>1979</v>
      </c>
      <c r="C319" t="s">
        <v>61</v>
      </c>
      <c r="D319" t="s">
        <v>231</v>
      </c>
      <c r="E319" t="s">
        <v>232</v>
      </c>
      <c r="F319">
        <v>300</v>
      </c>
      <c r="G319" t="s">
        <v>2375</v>
      </c>
      <c r="H319" t="s">
        <v>1681</v>
      </c>
      <c r="I319" t="s">
        <v>2329</v>
      </c>
      <c r="J319" t="s">
        <v>2247</v>
      </c>
    </row>
    <row r="320" spans="2:10" x14ac:dyDescent="0.25">
      <c r="B320" t="s">
        <v>1979</v>
      </c>
      <c r="C320" t="s">
        <v>61</v>
      </c>
      <c r="D320" t="s">
        <v>159</v>
      </c>
      <c r="E320" t="s">
        <v>160</v>
      </c>
      <c r="F320">
        <v>10</v>
      </c>
      <c r="G320" t="s">
        <v>2372</v>
      </c>
      <c r="H320" t="s">
        <v>1643</v>
      </c>
      <c r="I320" t="s">
        <v>2329</v>
      </c>
      <c r="J320" t="s">
        <v>2247</v>
      </c>
    </row>
    <row r="321" spans="2:10" x14ac:dyDescent="0.25">
      <c r="B321" t="s">
        <v>1979</v>
      </c>
      <c r="C321" t="s">
        <v>61</v>
      </c>
      <c r="D321" t="s">
        <v>159</v>
      </c>
      <c r="E321" t="s">
        <v>160</v>
      </c>
      <c r="F321">
        <v>90</v>
      </c>
      <c r="G321" t="s">
        <v>2372</v>
      </c>
      <c r="H321" t="s">
        <v>1643</v>
      </c>
      <c r="I321" t="s">
        <v>2329</v>
      </c>
      <c r="J321" t="s">
        <v>2247</v>
      </c>
    </row>
    <row r="322" spans="2:10" x14ac:dyDescent="0.25">
      <c r="B322" t="s">
        <v>1979</v>
      </c>
      <c r="C322" t="s">
        <v>61</v>
      </c>
      <c r="D322" t="s">
        <v>159</v>
      </c>
      <c r="E322" t="s">
        <v>160</v>
      </c>
      <c r="F322">
        <v>100</v>
      </c>
      <c r="G322" t="s">
        <v>2377</v>
      </c>
      <c r="H322" t="s">
        <v>1736</v>
      </c>
      <c r="I322" t="s">
        <v>2329</v>
      </c>
      <c r="J322" t="s">
        <v>2247</v>
      </c>
    </row>
    <row r="323" spans="2:10" x14ac:dyDescent="0.25">
      <c r="B323" t="s">
        <v>1979</v>
      </c>
      <c r="C323" t="s">
        <v>61</v>
      </c>
      <c r="D323" t="s">
        <v>159</v>
      </c>
      <c r="E323" t="s">
        <v>160</v>
      </c>
      <c r="F323">
        <v>150</v>
      </c>
      <c r="G323" t="s">
        <v>2378</v>
      </c>
      <c r="H323" t="s">
        <v>1681</v>
      </c>
      <c r="I323" t="s">
        <v>2329</v>
      </c>
      <c r="J323" t="s">
        <v>2247</v>
      </c>
    </row>
    <row r="324" spans="2:10" x14ac:dyDescent="0.25">
      <c r="B324" t="s">
        <v>1979</v>
      </c>
      <c r="C324" t="s">
        <v>61</v>
      </c>
      <c r="D324" t="s">
        <v>159</v>
      </c>
      <c r="E324" t="s">
        <v>160</v>
      </c>
      <c r="F324">
        <v>50</v>
      </c>
      <c r="G324" t="s">
        <v>2378</v>
      </c>
      <c r="H324" t="s">
        <v>1681</v>
      </c>
      <c r="I324" t="s">
        <v>2329</v>
      </c>
      <c r="J324" t="s">
        <v>2247</v>
      </c>
    </row>
    <row r="325" spans="2:10" x14ac:dyDescent="0.25">
      <c r="B325" t="s">
        <v>1979</v>
      </c>
      <c r="C325" t="s">
        <v>61</v>
      </c>
      <c r="D325" t="s">
        <v>231</v>
      </c>
      <c r="E325" t="s">
        <v>232</v>
      </c>
      <c r="F325">
        <v>120</v>
      </c>
      <c r="G325" t="s">
        <v>2371</v>
      </c>
      <c r="H325" t="s">
        <v>1718</v>
      </c>
      <c r="I325" t="s">
        <v>2329</v>
      </c>
      <c r="J325" t="s">
        <v>2247</v>
      </c>
    </row>
    <row r="326" spans="2:10" x14ac:dyDescent="0.25">
      <c r="B326" t="s">
        <v>1979</v>
      </c>
      <c r="C326" t="s">
        <v>623</v>
      </c>
      <c r="D326" t="s">
        <v>871</v>
      </c>
      <c r="E326" t="s">
        <v>872</v>
      </c>
      <c r="F326">
        <v>600</v>
      </c>
      <c r="G326" t="s">
        <v>2374</v>
      </c>
      <c r="H326" t="s">
        <v>1614</v>
      </c>
      <c r="I326" t="s">
        <v>2329</v>
      </c>
      <c r="J326" t="s">
        <v>2247</v>
      </c>
    </row>
    <row r="327" spans="2:10" x14ac:dyDescent="0.25">
      <c r="B327" t="s">
        <v>1979</v>
      </c>
      <c r="C327" t="s">
        <v>623</v>
      </c>
      <c r="D327" t="s">
        <v>925</v>
      </c>
      <c r="E327" t="s">
        <v>926</v>
      </c>
      <c r="F327">
        <v>60</v>
      </c>
      <c r="G327" t="s">
        <v>2374</v>
      </c>
      <c r="H327" t="s">
        <v>1614</v>
      </c>
      <c r="I327" t="s">
        <v>2329</v>
      </c>
      <c r="J327" t="s">
        <v>2247</v>
      </c>
    </row>
    <row r="328" spans="2:10" x14ac:dyDescent="0.25">
      <c r="B328" t="s">
        <v>1979</v>
      </c>
      <c r="C328" t="s">
        <v>623</v>
      </c>
      <c r="D328" t="s">
        <v>871</v>
      </c>
      <c r="E328" t="s">
        <v>872</v>
      </c>
      <c r="F328">
        <v>600</v>
      </c>
      <c r="G328" t="s">
        <v>2377</v>
      </c>
      <c r="H328" t="s">
        <v>1736</v>
      </c>
      <c r="I328" t="s">
        <v>2329</v>
      </c>
      <c r="J328" t="s">
        <v>2247</v>
      </c>
    </row>
    <row r="329" spans="2:10" x14ac:dyDescent="0.25">
      <c r="B329" t="s">
        <v>1979</v>
      </c>
      <c r="C329" t="s">
        <v>52</v>
      </c>
      <c r="D329" t="s">
        <v>722</v>
      </c>
      <c r="E329" t="s">
        <v>723</v>
      </c>
      <c r="F329">
        <v>40</v>
      </c>
      <c r="G329" t="s">
        <v>2371</v>
      </c>
      <c r="H329" t="s">
        <v>1718</v>
      </c>
      <c r="I329" t="s">
        <v>2329</v>
      </c>
      <c r="J329" t="s">
        <v>2247</v>
      </c>
    </row>
    <row r="330" spans="2:10" x14ac:dyDescent="0.25">
      <c r="B330" t="s">
        <v>1979</v>
      </c>
      <c r="C330" t="s">
        <v>52</v>
      </c>
      <c r="D330" t="s">
        <v>722</v>
      </c>
      <c r="E330" t="s">
        <v>723</v>
      </c>
      <c r="F330">
        <v>60</v>
      </c>
      <c r="G330" t="s">
        <v>2372</v>
      </c>
      <c r="H330" t="s">
        <v>1643</v>
      </c>
      <c r="I330" t="s">
        <v>2329</v>
      </c>
      <c r="J330" t="s">
        <v>2247</v>
      </c>
    </row>
    <row r="331" spans="2:10" x14ac:dyDescent="0.25">
      <c r="B331" t="s">
        <v>1979</v>
      </c>
      <c r="C331" t="s">
        <v>52</v>
      </c>
      <c r="D331" t="s">
        <v>722</v>
      </c>
      <c r="E331" t="s">
        <v>723</v>
      </c>
      <c r="F331">
        <v>140</v>
      </c>
      <c r="G331" t="s">
        <v>2374</v>
      </c>
      <c r="H331" t="s">
        <v>1614</v>
      </c>
      <c r="I331" t="s">
        <v>2329</v>
      </c>
      <c r="J331" t="s">
        <v>2247</v>
      </c>
    </row>
    <row r="332" spans="2:10" x14ac:dyDescent="0.25">
      <c r="B332" t="s">
        <v>1979</v>
      </c>
      <c r="C332" t="s">
        <v>52</v>
      </c>
      <c r="D332" t="s">
        <v>722</v>
      </c>
      <c r="E332" t="s">
        <v>723</v>
      </c>
      <c r="F332">
        <v>400</v>
      </c>
      <c r="G332" t="s">
        <v>2378</v>
      </c>
      <c r="H332" t="s">
        <v>1681</v>
      </c>
      <c r="I332" t="s">
        <v>2329</v>
      </c>
      <c r="J332" t="s">
        <v>2247</v>
      </c>
    </row>
    <row r="333" spans="2:10" x14ac:dyDescent="0.25">
      <c r="B333" t="s">
        <v>1979</v>
      </c>
      <c r="C333" t="s">
        <v>521</v>
      </c>
      <c r="D333" t="s">
        <v>821</v>
      </c>
      <c r="E333" t="s">
        <v>822</v>
      </c>
      <c r="F333">
        <v>100</v>
      </c>
      <c r="G333" t="s">
        <v>2373</v>
      </c>
      <c r="H333" t="s">
        <v>1736</v>
      </c>
      <c r="I333" t="s">
        <v>2329</v>
      </c>
      <c r="J333" t="s">
        <v>2247</v>
      </c>
    </row>
    <row r="334" spans="2:10" x14ac:dyDescent="0.25">
      <c r="B334" t="s">
        <v>1979</v>
      </c>
      <c r="C334" t="s">
        <v>521</v>
      </c>
      <c r="D334" t="s">
        <v>877</v>
      </c>
      <c r="E334" t="s">
        <v>878</v>
      </c>
      <c r="F334">
        <v>200</v>
      </c>
      <c r="G334" t="s">
        <v>2373</v>
      </c>
      <c r="H334" t="s">
        <v>1736</v>
      </c>
      <c r="I334" t="s">
        <v>2329</v>
      </c>
      <c r="J334" t="s">
        <v>2247</v>
      </c>
    </row>
    <row r="335" spans="2:10" x14ac:dyDescent="0.25">
      <c r="B335" t="s">
        <v>1979</v>
      </c>
      <c r="C335" t="s">
        <v>521</v>
      </c>
      <c r="D335" t="s">
        <v>877</v>
      </c>
      <c r="E335" t="s">
        <v>878</v>
      </c>
      <c r="F335">
        <v>820</v>
      </c>
      <c r="G335" t="s">
        <v>2376</v>
      </c>
      <c r="H335" t="s">
        <v>1681</v>
      </c>
      <c r="I335" t="s">
        <v>2329</v>
      </c>
      <c r="J335" t="s">
        <v>2247</v>
      </c>
    </row>
    <row r="336" spans="2:10" x14ac:dyDescent="0.25">
      <c r="B336" t="s">
        <v>1979</v>
      </c>
      <c r="C336" t="s">
        <v>521</v>
      </c>
      <c r="D336" t="s">
        <v>821</v>
      </c>
      <c r="E336" t="s">
        <v>822</v>
      </c>
      <c r="F336">
        <v>100</v>
      </c>
      <c r="G336" t="s">
        <v>2376</v>
      </c>
      <c r="H336" t="s">
        <v>1681</v>
      </c>
      <c r="I336" t="s">
        <v>2329</v>
      </c>
      <c r="J336" t="s">
        <v>2247</v>
      </c>
    </row>
    <row r="337" spans="2:10" x14ac:dyDescent="0.25">
      <c r="B337" t="s">
        <v>1979</v>
      </c>
      <c r="C337" t="s">
        <v>209</v>
      </c>
      <c r="D337" t="s">
        <v>210</v>
      </c>
      <c r="E337" t="s">
        <v>211</v>
      </c>
      <c r="F337">
        <v>200</v>
      </c>
      <c r="G337" t="s">
        <v>2370</v>
      </c>
      <c r="H337" t="s">
        <v>1736</v>
      </c>
      <c r="I337" t="s">
        <v>2329</v>
      </c>
      <c r="J337" t="s">
        <v>2247</v>
      </c>
    </row>
    <row r="338" spans="2:10" x14ac:dyDescent="0.25">
      <c r="B338" t="s">
        <v>1979</v>
      </c>
      <c r="C338" t="s">
        <v>209</v>
      </c>
      <c r="D338" t="s">
        <v>210</v>
      </c>
      <c r="E338" t="s">
        <v>211</v>
      </c>
      <c r="F338">
        <v>200</v>
      </c>
      <c r="G338" t="s">
        <v>2373</v>
      </c>
      <c r="H338" t="s">
        <v>1736</v>
      </c>
      <c r="I338" t="s">
        <v>2329</v>
      </c>
      <c r="J338" t="s">
        <v>2247</v>
      </c>
    </row>
    <row r="339" spans="2:10" x14ac:dyDescent="0.25">
      <c r="B339" t="s">
        <v>1979</v>
      </c>
      <c r="C339" t="s">
        <v>209</v>
      </c>
      <c r="D339" t="s">
        <v>210</v>
      </c>
      <c r="E339" t="s">
        <v>211</v>
      </c>
      <c r="F339">
        <v>420</v>
      </c>
      <c r="G339" t="s">
        <v>2375</v>
      </c>
      <c r="H339" t="s">
        <v>1681</v>
      </c>
      <c r="I339" t="s">
        <v>2329</v>
      </c>
      <c r="J339" t="s">
        <v>2247</v>
      </c>
    </row>
    <row r="340" spans="2:10" x14ac:dyDescent="0.25">
      <c r="B340" t="s">
        <v>1979</v>
      </c>
      <c r="C340" t="s">
        <v>209</v>
      </c>
      <c r="D340" t="s">
        <v>210</v>
      </c>
      <c r="E340" t="s">
        <v>211</v>
      </c>
      <c r="F340">
        <v>580</v>
      </c>
      <c r="G340" t="s">
        <v>2375</v>
      </c>
      <c r="H340" t="s">
        <v>1681</v>
      </c>
      <c r="I340" t="s">
        <v>2329</v>
      </c>
      <c r="J340" t="s">
        <v>2247</v>
      </c>
    </row>
    <row r="341" spans="2:10" x14ac:dyDescent="0.25">
      <c r="B341" t="s">
        <v>1979</v>
      </c>
      <c r="C341" t="s">
        <v>209</v>
      </c>
      <c r="D341" t="s">
        <v>965</v>
      </c>
      <c r="E341" t="s">
        <v>966</v>
      </c>
      <c r="F341">
        <v>100</v>
      </c>
      <c r="G341" t="s">
        <v>2370</v>
      </c>
      <c r="H341" t="s">
        <v>1736</v>
      </c>
      <c r="I341" t="s">
        <v>2329</v>
      </c>
      <c r="J341" t="s">
        <v>2247</v>
      </c>
    </row>
    <row r="342" spans="2:10" x14ac:dyDescent="0.25">
      <c r="B342" t="s">
        <v>1979</v>
      </c>
      <c r="C342" t="s">
        <v>209</v>
      </c>
      <c r="D342" t="s">
        <v>210</v>
      </c>
      <c r="E342" t="s">
        <v>211</v>
      </c>
      <c r="F342">
        <v>200</v>
      </c>
      <c r="G342" t="s">
        <v>2371</v>
      </c>
      <c r="H342" t="s">
        <v>1718</v>
      </c>
      <c r="I342" t="s">
        <v>2329</v>
      </c>
      <c r="J342" t="s">
        <v>2247</v>
      </c>
    </row>
    <row r="343" spans="2:10" x14ac:dyDescent="0.25">
      <c r="B343" t="s">
        <v>1979</v>
      </c>
      <c r="C343" t="s">
        <v>209</v>
      </c>
      <c r="D343" t="s">
        <v>965</v>
      </c>
      <c r="E343" t="s">
        <v>966</v>
      </c>
      <c r="F343">
        <v>80</v>
      </c>
      <c r="G343" t="s">
        <v>2371</v>
      </c>
      <c r="H343" t="s">
        <v>1718</v>
      </c>
      <c r="I343" t="s">
        <v>2329</v>
      </c>
      <c r="J343" t="s">
        <v>2247</v>
      </c>
    </row>
    <row r="344" spans="2:10" x14ac:dyDescent="0.25">
      <c r="B344" t="s">
        <v>1979</v>
      </c>
      <c r="C344" t="s">
        <v>209</v>
      </c>
      <c r="D344" t="s">
        <v>965</v>
      </c>
      <c r="E344" t="s">
        <v>966</v>
      </c>
      <c r="F344">
        <v>20</v>
      </c>
      <c r="G344" t="s">
        <v>2371</v>
      </c>
      <c r="H344" t="s">
        <v>1718</v>
      </c>
      <c r="I344" t="s">
        <v>2329</v>
      </c>
      <c r="J344" t="s">
        <v>2247</v>
      </c>
    </row>
    <row r="345" spans="2:10" x14ac:dyDescent="0.25">
      <c r="B345" t="s">
        <v>1979</v>
      </c>
      <c r="C345" t="s">
        <v>209</v>
      </c>
      <c r="D345" t="s">
        <v>210</v>
      </c>
      <c r="E345" t="s">
        <v>211</v>
      </c>
      <c r="F345">
        <v>100</v>
      </c>
      <c r="G345" t="s">
        <v>2372</v>
      </c>
      <c r="H345" t="s">
        <v>1643</v>
      </c>
      <c r="I345" t="s">
        <v>2329</v>
      </c>
      <c r="J345" t="s">
        <v>2247</v>
      </c>
    </row>
    <row r="346" spans="2:10" x14ac:dyDescent="0.25">
      <c r="B346" t="s">
        <v>1979</v>
      </c>
      <c r="C346" t="s">
        <v>209</v>
      </c>
      <c r="D346" t="s">
        <v>210</v>
      </c>
      <c r="E346" t="s">
        <v>211</v>
      </c>
      <c r="F346">
        <v>100</v>
      </c>
      <c r="G346" t="s">
        <v>2374</v>
      </c>
      <c r="H346" t="s">
        <v>1614</v>
      </c>
      <c r="I346" t="s">
        <v>2329</v>
      </c>
      <c r="J346" t="s">
        <v>2247</v>
      </c>
    </row>
    <row r="347" spans="2:10" x14ac:dyDescent="0.25">
      <c r="B347" t="s">
        <v>1979</v>
      </c>
      <c r="C347" t="s">
        <v>25</v>
      </c>
      <c r="D347" t="s">
        <v>470</v>
      </c>
      <c r="E347" t="s">
        <v>471</v>
      </c>
      <c r="F347">
        <v>151</v>
      </c>
      <c r="G347" t="s">
        <v>2374</v>
      </c>
      <c r="H347" t="s">
        <v>1614</v>
      </c>
      <c r="I347" t="s">
        <v>2329</v>
      </c>
      <c r="J347" t="s">
        <v>2247</v>
      </c>
    </row>
    <row r="348" spans="2:10" x14ac:dyDescent="0.25">
      <c r="B348" t="s">
        <v>1979</v>
      </c>
      <c r="C348" t="s">
        <v>25</v>
      </c>
      <c r="D348" t="s">
        <v>470</v>
      </c>
      <c r="E348" t="s">
        <v>471</v>
      </c>
      <c r="F348">
        <v>857</v>
      </c>
      <c r="G348" t="s">
        <v>2374</v>
      </c>
      <c r="H348" t="s">
        <v>1614</v>
      </c>
      <c r="I348" t="s">
        <v>2329</v>
      </c>
      <c r="J348" t="s">
        <v>2247</v>
      </c>
    </row>
    <row r="349" spans="2:10" x14ac:dyDescent="0.25">
      <c r="B349" t="s">
        <v>1979</v>
      </c>
      <c r="C349" t="s">
        <v>25</v>
      </c>
      <c r="D349" t="s">
        <v>470</v>
      </c>
      <c r="E349" t="s">
        <v>471</v>
      </c>
      <c r="F349">
        <v>60</v>
      </c>
      <c r="G349" t="s">
        <v>2372</v>
      </c>
      <c r="H349" t="s">
        <v>1643</v>
      </c>
      <c r="I349" t="s">
        <v>2329</v>
      </c>
      <c r="J349" t="s">
        <v>2247</v>
      </c>
    </row>
    <row r="350" spans="2:10" x14ac:dyDescent="0.25">
      <c r="B350" t="s">
        <v>1979</v>
      </c>
      <c r="C350" t="s">
        <v>25</v>
      </c>
      <c r="D350" t="s">
        <v>470</v>
      </c>
      <c r="E350" t="s">
        <v>471</v>
      </c>
      <c r="F350">
        <v>72</v>
      </c>
      <c r="G350" t="s">
        <v>2379</v>
      </c>
      <c r="H350" t="s">
        <v>1984</v>
      </c>
      <c r="I350" t="s">
        <v>2329</v>
      </c>
      <c r="J350" t="s">
        <v>2247</v>
      </c>
    </row>
    <row r="351" spans="2:10" x14ac:dyDescent="0.25">
      <c r="B351" t="s">
        <v>1979</v>
      </c>
      <c r="C351" t="s">
        <v>25</v>
      </c>
      <c r="D351" t="s">
        <v>470</v>
      </c>
      <c r="E351" t="s">
        <v>471</v>
      </c>
      <c r="F351">
        <v>5</v>
      </c>
      <c r="G351" t="s">
        <v>2375</v>
      </c>
      <c r="H351" t="s">
        <v>1681</v>
      </c>
      <c r="I351" t="s">
        <v>2329</v>
      </c>
      <c r="J351" t="s">
        <v>2247</v>
      </c>
    </row>
    <row r="352" spans="2:10" x14ac:dyDescent="0.25">
      <c r="B352" t="s">
        <v>1979</v>
      </c>
      <c r="C352" t="s">
        <v>25</v>
      </c>
      <c r="D352" t="s">
        <v>470</v>
      </c>
      <c r="E352" t="s">
        <v>471</v>
      </c>
      <c r="F352">
        <v>715</v>
      </c>
      <c r="G352" t="s">
        <v>2375</v>
      </c>
      <c r="H352" t="s">
        <v>1681</v>
      </c>
      <c r="I352" t="s">
        <v>2329</v>
      </c>
      <c r="J352" t="s">
        <v>2247</v>
      </c>
    </row>
    <row r="353" spans="2:10" x14ac:dyDescent="0.25">
      <c r="B353" t="s">
        <v>1979</v>
      </c>
      <c r="C353" t="s">
        <v>25</v>
      </c>
      <c r="D353" t="s">
        <v>470</v>
      </c>
      <c r="E353" t="s">
        <v>471</v>
      </c>
      <c r="F353">
        <v>288</v>
      </c>
      <c r="G353" t="s">
        <v>2375</v>
      </c>
      <c r="H353" t="s">
        <v>1681</v>
      </c>
      <c r="I353" t="s">
        <v>2329</v>
      </c>
      <c r="J353" t="s">
        <v>2247</v>
      </c>
    </row>
    <row r="354" spans="2:10" x14ac:dyDescent="0.25">
      <c r="B354" t="s">
        <v>1979</v>
      </c>
      <c r="C354" t="s">
        <v>25</v>
      </c>
      <c r="D354" t="s">
        <v>470</v>
      </c>
      <c r="E354" t="s">
        <v>471</v>
      </c>
      <c r="F354">
        <v>24</v>
      </c>
      <c r="G354" t="s">
        <v>2371</v>
      </c>
      <c r="H354" t="s">
        <v>1718</v>
      </c>
      <c r="I354" t="s">
        <v>2329</v>
      </c>
      <c r="J354" t="s">
        <v>2247</v>
      </c>
    </row>
    <row r="355" spans="2:10" x14ac:dyDescent="0.25">
      <c r="B355" t="s">
        <v>1979</v>
      </c>
      <c r="C355" t="s">
        <v>131</v>
      </c>
      <c r="D355" t="s">
        <v>634</v>
      </c>
      <c r="E355" t="s">
        <v>635</v>
      </c>
      <c r="F355">
        <v>10</v>
      </c>
      <c r="G355" t="s">
        <v>2378</v>
      </c>
      <c r="H355" t="s">
        <v>1681</v>
      </c>
      <c r="I355" t="s">
        <v>2329</v>
      </c>
      <c r="J355" t="s">
        <v>2247</v>
      </c>
    </row>
    <row r="356" spans="2:10" x14ac:dyDescent="0.25">
      <c r="B356" t="s">
        <v>1979</v>
      </c>
      <c r="C356" t="s">
        <v>131</v>
      </c>
      <c r="D356" t="s">
        <v>634</v>
      </c>
      <c r="E356" t="s">
        <v>635</v>
      </c>
      <c r="F356">
        <v>190</v>
      </c>
      <c r="G356" t="s">
        <v>2378</v>
      </c>
      <c r="H356" t="s">
        <v>1681</v>
      </c>
      <c r="I356" t="s">
        <v>2329</v>
      </c>
      <c r="J356" t="s">
        <v>2247</v>
      </c>
    </row>
    <row r="357" spans="2:10" x14ac:dyDescent="0.25">
      <c r="B357" t="s">
        <v>1979</v>
      </c>
      <c r="C357" t="s">
        <v>131</v>
      </c>
      <c r="D357" t="s">
        <v>632</v>
      </c>
      <c r="E357" t="s">
        <v>633</v>
      </c>
      <c r="F357">
        <v>100</v>
      </c>
      <c r="G357" t="s">
        <v>2371</v>
      </c>
      <c r="H357" t="s">
        <v>1718</v>
      </c>
      <c r="I357" t="s">
        <v>2329</v>
      </c>
      <c r="J357" t="s">
        <v>2247</v>
      </c>
    </row>
    <row r="358" spans="2:10" x14ac:dyDescent="0.25">
      <c r="B358" t="s">
        <v>1979</v>
      </c>
      <c r="C358" t="s">
        <v>546</v>
      </c>
      <c r="D358" t="s">
        <v>1262</v>
      </c>
      <c r="E358" t="s">
        <v>1263</v>
      </c>
      <c r="F358">
        <v>100</v>
      </c>
      <c r="G358" t="s">
        <v>2373</v>
      </c>
      <c r="H358" t="s">
        <v>1736</v>
      </c>
      <c r="I358" t="s">
        <v>2329</v>
      </c>
      <c r="J358" t="s">
        <v>2247</v>
      </c>
    </row>
    <row r="359" spans="2:10" x14ac:dyDescent="0.25">
      <c r="B359" t="s">
        <v>1979</v>
      </c>
      <c r="C359" t="s">
        <v>546</v>
      </c>
      <c r="D359" t="s">
        <v>547</v>
      </c>
      <c r="E359" t="s">
        <v>548</v>
      </c>
      <c r="F359">
        <v>200</v>
      </c>
      <c r="G359" t="s">
        <v>2373</v>
      </c>
      <c r="H359" t="s">
        <v>1736</v>
      </c>
      <c r="I359" t="s">
        <v>2329</v>
      </c>
      <c r="J359" t="s">
        <v>2247</v>
      </c>
    </row>
    <row r="360" spans="2:10" x14ac:dyDescent="0.25">
      <c r="B360" t="s">
        <v>1979</v>
      </c>
      <c r="C360" t="s">
        <v>705</v>
      </c>
      <c r="D360" t="s">
        <v>706</v>
      </c>
      <c r="E360" t="s">
        <v>707</v>
      </c>
      <c r="F360">
        <v>400</v>
      </c>
      <c r="G360" t="s">
        <v>2377</v>
      </c>
      <c r="H360" t="s">
        <v>1736</v>
      </c>
      <c r="I360" t="s">
        <v>2329</v>
      </c>
      <c r="J360" t="s">
        <v>2247</v>
      </c>
    </row>
    <row r="361" spans="2:10" x14ac:dyDescent="0.25">
      <c r="B361" t="s">
        <v>1979</v>
      </c>
      <c r="C361" t="s">
        <v>705</v>
      </c>
      <c r="D361" t="s">
        <v>706</v>
      </c>
      <c r="E361" t="s">
        <v>707</v>
      </c>
      <c r="F361">
        <v>400</v>
      </c>
      <c r="G361" t="s">
        <v>2378</v>
      </c>
      <c r="H361" t="s">
        <v>1681</v>
      </c>
      <c r="I361" t="s">
        <v>2329</v>
      </c>
      <c r="J361" t="s">
        <v>2247</v>
      </c>
    </row>
    <row r="362" spans="2:10" x14ac:dyDescent="0.25">
      <c r="B362" t="s">
        <v>1979</v>
      </c>
      <c r="C362" t="s">
        <v>705</v>
      </c>
      <c r="D362" t="s">
        <v>1117</v>
      </c>
      <c r="E362" t="s">
        <v>1118</v>
      </c>
      <c r="F362">
        <v>85</v>
      </c>
      <c r="G362" t="s">
        <v>2379</v>
      </c>
      <c r="H362" t="s">
        <v>1984</v>
      </c>
      <c r="I362" t="s">
        <v>2329</v>
      </c>
      <c r="J362" t="s">
        <v>2247</v>
      </c>
    </row>
    <row r="363" spans="2:10" x14ac:dyDescent="0.25">
      <c r="B363" t="s">
        <v>1979</v>
      </c>
      <c r="C363" t="s">
        <v>705</v>
      </c>
      <c r="D363" t="s">
        <v>1117</v>
      </c>
      <c r="E363" t="s">
        <v>1118</v>
      </c>
      <c r="F363">
        <v>100</v>
      </c>
      <c r="G363" t="s">
        <v>2379</v>
      </c>
      <c r="H363" t="s">
        <v>1984</v>
      </c>
      <c r="I363" t="s">
        <v>2329</v>
      </c>
      <c r="J363" t="s">
        <v>2247</v>
      </c>
    </row>
    <row r="364" spans="2:10" x14ac:dyDescent="0.25">
      <c r="B364" t="s">
        <v>1979</v>
      </c>
      <c r="C364" t="s">
        <v>705</v>
      </c>
      <c r="D364" t="s">
        <v>1117</v>
      </c>
      <c r="E364" t="s">
        <v>1118</v>
      </c>
      <c r="F364">
        <v>100</v>
      </c>
      <c r="G364" t="s">
        <v>2374</v>
      </c>
      <c r="H364" t="s">
        <v>1614</v>
      </c>
      <c r="I364" t="s">
        <v>2329</v>
      </c>
      <c r="J364" t="s">
        <v>2247</v>
      </c>
    </row>
    <row r="365" spans="2:10" x14ac:dyDescent="0.25">
      <c r="B365" t="s">
        <v>1979</v>
      </c>
      <c r="C365" t="s">
        <v>705</v>
      </c>
      <c r="D365" t="s">
        <v>706</v>
      </c>
      <c r="E365" t="s">
        <v>707</v>
      </c>
      <c r="F365">
        <v>100</v>
      </c>
      <c r="G365" t="s">
        <v>2371</v>
      </c>
      <c r="H365" t="s">
        <v>1718</v>
      </c>
      <c r="I365" t="s">
        <v>2329</v>
      </c>
      <c r="J365" t="s">
        <v>2247</v>
      </c>
    </row>
    <row r="366" spans="2:10" x14ac:dyDescent="0.25">
      <c r="B366" t="s">
        <v>1979</v>
      </c>
      <c r="C366" t="s">
        <v>705</v>
      </c>
      <c r="D366" t="s">
        <v>706</v>
      </c>
      <c r="E366" t="s">
        <v>707</v>
      </c>
      <c r="F366">
        <v>100</v>
      </c>
      <c r="G366" t="s">
        <v>2372</v>
      </c>
      <c r="H366" t="s">
        <v>1643</v>
      </c>
      <c r="I366" t="s">
        <v>2329</v>
      </c>
      <c r="J366" t="s">
        <v>2247</v>
      </c>
    </row>
    <row r="367" spans="2:10" x14ac:dyDescent="0.25">
      <c r="B367" t="s">
        <v>1979</v>
      </c>
      <c r="C367" t="s">
        <v>705</v>
      </c>
      <c r="D367" t="s">
        <v>706</v>
      </c>
      <c r="E367" t="s">
        <v>707</v>
      </c>
      <c r="F367">
        <v>100</v>
      </c>
      <c r="G367" t="s">
        <v>2374</v>
      </c>
      <c r="H367" t="s">
        <v>1614</v>
      </c>
      <c r="I367" t="s">
        <v>2329</v>
      </c>
      <c r="J367" t="s">
        <v>2247</v>
      </c>
    </row>
    <row r="368" spans="2:10" x14ac:dyDescent="0.25">
      <c r="B368" t="s">
        <v>1979</v>
      </c>
      <c r="C368" t="s">
        <v>705</v>
      </c>
      <c r="D368" t="s">
        <v>706</v>
      </c>
      <c r="E368" t="s">
        <v>707</v>
      </c>
      <c r="F368">
        <v>300</v>
      </c>
      <c r="G368" t="s">
        <v>2380</v>
      </c>
      <c r="H368" t="s">
        <v>1614</v>
      </c>
      <c r="I368" t="s">
        <v>2329</v>
      </c>
      <c r="J368" t="s">
        <v>2247</v>
      </c>
    </row>
    <row r="369" spans="2:10" x14ac:dyDescent="0.25">
      <c r="B369" t="s">
        <v>1979</v>
      </c>
      <c r="C369" t="s">
        <v>17</v>
      </c>
      <c r="D369" t="s">
        <v>607</v>
      </c>
      <c r="E369" t="s">
        <v>608</v>
      </c>
      <c r="F369">
        <v>100</v>
      </c>
      <c r="G369" t="s">
        <v>2381</v>
      </c>
      <c r="H369" t="s">
        <v>1736</v>
      </c>
      <c r="I369" t="s">
        <v>2329</v>
      </c>
      <c r="J369" t="s">
        <v>2247</v>
      </c>
    </row>
    <row r="370" spans="2:10" x14ac:dyDescent="0.25">
      <c r="B370" t="s">
        <v>1979</v>
      </c>
      <c r="C370" t="s">
        <v>17</v>
      </c>
      <c r="D370" t="s">
        <v>455</v>
      </c>
      <c r="E370" t="s">
        <v>456</v>
      </c>
      <c r="F370">
        <v>60</v>
      </c>
      <c r="G370" t="s">
        <v>2381</v>
      </c>
      <c r="H370" t="s">
        <v>1736</v>
      </c>
      <c r="I370" t="s">
        <v>2329</v>
      </c>
      <c r="J370" t="s">
        <v>2247</v>
      </c>
    </row>
    <row r="371" spans="2:10" x14ac:dyDescent="0.25">
      <c r="B371" t="s">
        <v>1979</v>
      </c>
      <c r="C371" t="s">
        <v>20</v>
      </c>
      <c r="D371" t="s">
        <v>459</v>
      </c>
      <c r="E371" t="s">
        <v>460</v>
      </c>
      <c r="F371">
        <v>500</v>
      </c>
      <c r="G371" t="s">
        <v>2378</v>
      </c>
      <c r="H371" t="s">
        <v>1681</v>
      </c>
      <c r="I371" t="s">
        <v>2329</v>
      </c>
      <c r="J371" t="s">
        <v>2247</v>
      </c>
    </row>
    <row r="372" spans="2:10" x14ac:dyDescent="0.25">
      <c r="B372" t="s">
        <v>1979</v>
      </c>
      <c r="C372" t="s">
        <v>20</v>
      </c>
      <c r="D372" t="s">
        <v>1003</v>
      </c>
      <c r="E372" t="s">
        <v>1004</v>
      </c>
      <c r="F372">
        <v>10</v>
      </c>
      <c r="G372" t="s">
        <v>2378</v>
      </c>
      <c r="H372" t="s">
        <v>1681</v>
      </c>
      <c r="I372" t="s">
        <v>2329</v>
      </c>
      <c r="J372" t="s">
        <v>2247</v>
      </c>
    </row>
    <row r="373" spans="2:10" x14ac:dyDescent="0.25">
      <c r="B373" t="s">
        <v>1979</v>
      </c>
      <c r="C373" t="s">
        <v>20</v>
      </c>
      <c r="D373" t="s">
        <v>459</v>
      </c>
      <c r="E373" t="s">
        <v>460</v>
      </c>
      <c r="F373">
        <v>200</v>
      </c>
      <c r="G373" t="s">
        <v>2370</v>
      </c>
      <c r="H373" t="s">
        <v>1736</v>
      </c>
      <c r="I373" t="s">
        <v>2329</v>
      </c>
      <c r="J373" t="s">
        <v>2247</v>
      </c>
    </row>
    <row r="374" spans="2:10" x14ac:dyDescent="0.25">
      <c r="B374" t="s">
        <v>1979</v>
      </c>
      <c r="C374" t="s">
        <v>20</v>
      </c>
      <c r="D374" t="s">
        <v>459</v>
      </c>
      <c r="E374" t="s">
        <v>460</v>
      </c>
      <c r="F374">
        <v>400</v>
      </c>
      <c r="G374" t="s">
        <v>2373</v>
      </c>
      <c r="H374" t="s">
        <v>1736</v>
      </c>
      <c r="I374" t="s">
        <v>2329</v>
      </c>
      <c r="J374" t="s">
        <v>2247</v>
      </c>
    </row>
    <row r="375" spans="2:10" x14ac:dyDescent="0.25">
      <c r="B375" t="s">
        <v>1979</v>
      </c>
      <c r="C375" t="s">
        <v>20</v>
      </c>
      <c r="D375" t="s">
        <v>459</v>
      </c>
      <c r="E375" t="s">
        <v>460</v>
      </c>
      <c r="F375">
        <v>100</v>
      </c>
      <c r="G375" t="s">
        <v>2372</v>
      </c>
      <c r="H375" t="s">
        <v>1643</v>
      </c>
      <c r="I375" t="s">
        <v>2329</v>
      </c>
      <c r="J375" t="s">
        <v>2247</v>
      </c>
    </row>
    <row r="376" spans="2:10" x14ac:dyDescent="0.25">
      <c r="B376" t="s">
        <v>1979</v>
      </c>
      <c r="C376" t="s">
        <v>20</v>
      </c>
      <c r="D376" t="s">
        <v>459</v>
      </c>
      <c r="E376" t="s">
        <v>460</v>
      </c>
      <c r="F376">
        <v>100</v>
      </c>
      <c r="G376" t="s">
        <v>2374</v>
      </c>
      <c r="H376" t="s">
        <v>1614</v>
      </c>
      <c r="I376" t="s">
        <v>2329</v>
      </c>
      <c r="J376" t="s">
        <v>2247</v>
      </c>
    </row>
    <row r="377" spans="2:10" x14ac:dyDescent="0.25">
      <c r="B377" t="s">
        <v>1979</v>
      </c>
      <c r="C377" t="s">
        <v>20</v>
      </c>
      <c r="D377" t="s">
        <v>459</v>
      </c>
      <c r="E377" t="s">
        <v>460</v>
      </c>
      <c r="F377">
        <v>240</v>
      </c>
      <c r="G377" t="s">
        <v>2380</v>
      </c>
      <c r="H377" t="s">
        <v>1614</v>
      </c>
      <c r="I377" t="s">
        <v>2329</v>
      </c>
      <c r="J377" t="s">
        <v>2247</v>
      </c>
    </row>
    <row r="378" spans="2:10" x14ac:dyDescent="0.25">
      <c r="B378" t="s">
        <v>1979</v>
      </c>
      <c r="C378" t="s">
        <v>17</v>
      </c>
      <c r="D378" t="s">
        <v>255</v>
      </c>
      <c r="E378" t="s">
        <v>256</v>
      </c>
      <c r="F378">
        <v>300</v>
      </c>
      <c r="G378" t="s">
        <v>2381</v>
      </c>
      <c r="H378" t="s">
        <v>1736</v>
      </c>
      <c r="I378" t="s">
        <v>2329</v>
      </c>
      <c r="J378" t="s">
        <v>2247</v>
      </c>
    </row>
    <row r="379" spans="2:10" x14ac:dyDescent="0.25">
      <c r="B379" t="s">
        <v>1979</v>
      </c>
      <c r="C379" t="s">
        <v>20</v>
      </c>
      <c r="D379" t="s">
        <v>1003</v>
      </c>
      <c r="E379" t="s">
        <v>1004</v>
      </c>
      <c r="F379">
        <v>100</v>
      </c>
      <c r="G379" t="s">
        <v>2372</v>
      </c>
      <c r="H379" t="s">
        <v>1643</v>
      </c>
      <c r="I379" t="s">
        <v>2329</v>
      </c>
      <c r="J379" t="s">
        <v>2247</v>
      </c>
    </row>
    <row r="380" spans="2:10" x14ac:dyDescent="0.25">
      <c r="B380" t="s">
        <v>1979</v>
      </c>
      <c r="C380" t="s">
        <v>20</v>
      </c>
      <c r="D380" t="s">
        <v>1003</v>
      </c>
      <c r="E380" t="s">
        <v>1004</v>
      </c>
      <c r="F380">
        <v>110</v>
      </c>
      <c r="G380" t="s">
        <v>2380</v>
      </c>
      <c r="H380" t="s">
        <v>1614</v>
      </c>
      <c r="I380" t="s">
        <v>2329</v>
      </c>
      <c r="J380" t="s">
        <v>2247</v>
      </c>
    </row>
    <row r="381" spans="2:10" x14ac:dyDescent="0.25">
      <c r="B381" t="s">
        <v>1979</v>
      </c>
      <c r="C381" t="s">
        <v>20</v>
      </c>
      <c r="D381" t="s">
        <v>1003</v>
      </c>
      <c r="E381" t="s">
        <v>1004</v>
      </c>
      <c r="F381">
        <v>190</v>
      </c>
      <c r="G381" t="s">
        <v>2378</v>
      </c>
      <c r="H381" t="s">
        <v>1681</v>
      </c>
      <c r="I381" t="s">
        <v>2329</v>
      </c>
      <c r="J381" t="s">
        <v>2247</v>
      </c>
    </row>
    <row r="382" spans="2:10" x14ac:dyDescent="0.25">
      <c r="B382" t="s">
        <v>1979</v>
      </c>
      <c r="C382" t="s">
        <v>28</v>
      </c>
      <c r="D382" t="s">
        <v>1472</v>
      </c>
      <c r="E382" t="s">
        <v>1473</v>
      </c>
      <c r="F382">
        <v>360</v>
      </c>
      <c r="G382" t="s">
        <v>2383</v>
      </c>
      <c r="H382" t="s">
        <v>1634</v>
      </c>
      <c r="I382" t="s">
        <v>2329</v>
      </c>
      <c r="J382" t="s">
        <v>2247</v>
      </c>
    </row>
    <row r="383" spans="2:10" x14ac:dyDescent="0.25">
      <c r="B383" t="s">
        <v>1979</v>
      </c>
      <c r="C383" t="s">
        <v>28</v>
      </c>
      <c r="D383" t="s">
        <v>1472</v>
      </c>
      <c r="E383" t="s">
        <v>1473</v>
      </c>
      <c r="F383">
        <v>2115</v>
      </c>
      <c r="G383" t="s">
        <v>2381</v>
      </c>
      <c r="H383" t="s">
        <v>1736</v>
      </c>
      <c r="I383" t="s">
        <v>2329</v>
      </c>
      <c r="J383" t="s">
        <v>2247</v>
      </c>
    </row>
    <row r="384" spans="2:10" x14ac:dyDescent="0.25">
      <c r="B384" t="s">
        <v>1979</v>
      </c>
      <c r="C384" t="s">
        <v>120</v>
      </c>
      <c r="D384" t="s">
        <v>540</v>
      </c>
      <c r="E384" t="s">
        <v>541</v>
      </c>
      <c r="F384">
        <v>500</v>
      </c>
      <c r="G384" t="s">
        <v>2382</v>
      </c>
      <c r="H384" t="s">
        <v>1654</v>
      </c>
      <c r="I384" t="s">
        <v>2329</v>
      </c>
      <c r="J384" t="s">
        <v>2247</v>
      </c>
    </row>
    <row r="385" spans="2:10" x14ac:dyDescent="0.25">
      <c r="B385" t="s">
        <v>1979</v>
      </c>
      <c r="C385" t="s">
        <v>120</v>
      </c>
      <c r="D385" t="s">
        <v>540</v>
      </c>
      <c r="E385" t="s">
        <v>541</v>
      </c>
      <c r="F385">
        <v>200</v>
      </c>
      <c r="G385" t="s">
        <v>2370</v>
      </c>
      <c r="H385" t="s">
        <v>1736</v>
      </c>
      <c r="I385" t="s">
        <v>2329</v>
      </c>
      <c r="J385" t="s">
        <v>2247</v>
      </c>
    </row>
    <row r="386" spans="2:10" x14ac:dyDescent="0.25">
      <c r="B386" t="s">
        <v>1979</v>
      </c>
      <c r="C386" t="s">
        <v>521</v>
      </c>
      <c r="D386" t="s">
        <v>821</v>
      </c>
      <c r="E386" t="s">
        <v>822</v>
      </c>
      <c r="F386">
        <v>5</v>
      </c>
      <c r="G386" t="s">
        <v>2384</v>
      </c>
      <c r="H386" t="s">
        <v>1627</v>
      </c>
      <c r="I386" t="s">
        <v>2329</v>
      </c>
      <c r="J386" t="s">
        <v>2247</v>
      </c>
    </row>
    <row r="387" spans="2:10" x14ac:dyDescent="0.25">
      <c r="B387" t="s">
        <v>1979</v>
      </c>
      <c r="C387" t="s">
        <v>521</v>
      </c>
      <c r="D387" t="s">
        <v>821</v>
      </c>
      <c r="E387" t="s">
        <v>822</v>
      </c>
      <c r="F387">
        <v>195</v>
      </c>
      <c r="G387" t="s">
        <v>2384</v>
      </c>
      <c r="H387" t="s">
        <v>1627</v>
      </c>
      <c r="I387" t="s">
        <v>2329</v>
      </c>
      <c r="J387" t="s">
        <v>2247</v>
      </c>
    </row>
    <row r="388" spans="2:10" x14ac:dyDescent="0.25">
      <c r="B388" t="s">
        <v>1979</v>
      </c>
      <c r="C388" t="s">
        <v>521</v>
      </c>
      <c r="D388" t="s">
        <v>1206</v>
      </c>
      <c r="E388" t="s">
        <v>1207</v>
      </c>
      <c r="F388">
        <v>360</v>
      </c>
      <c r="G388" t="s">
        <v>2384</v>
      </c>
      <c r="H388" t="s">
        <v>1627</v>
      </c>
      <c r="I388" t="s">
        <v>2329</v>
      </c>
      <c r="J388" t="s">
        <v>2247</v>
      </c>
    </row>
    <row r="389" spans="2:10" x14ac:dyDescent="0.25">
      <c r="B389" t="s">
        <v>1979</v>
      </c>
      <c r="C389" t="s">
        <v>352</v>
      </c>
      <c r="D389" t="s">
        <v>1065</v>
      </c>
      <c r="E389" t="s">
        <v>1066</v>
      </c>
      <c r="F389">
        <v>600</v>
      </c>
      <c r="G389" t="s">
        <v>2384</v>
      </c>
      <c r="H389" t="s">
        <v>1627</v>
      </c>
      <c r="I389" t="s">
        <v>2329</v>
      </c>
      <c r="J389" t="s">
        <v>2247</v>
      </c>
    </row>
    <row r="390" spans="2:10" x14ac:dyDescent="0.25">
      <c r="B390" t="s">
        <v>1979</v>
      </c>
      <c r="C390" t="s">
        <v>31</v>
      </c>
      <c r="D390" t="s">
        <v>580</v>
      </c>
      <c r="E390" t="s">
        <v>581</v>
      </c>
      <c r="F390">
        <v>60</v>
      </c>
      <c r="G390" t="s">
        <v>2385</v>
      </c>
      <c r="H390" t="s">
        <v>1640</v>
      </c>
      <c r="I390" t="s">
        <v>2246</v>
      </c>
      <c r="J390" t="s">
        <v>2247</v>
      </c>
    </row>
    <row r="391" spans="2:10" x14ac:dyDescent="0.25">
      <c r="B391" t="s">
        <v>1979</v>
      </c>
      <c r="C391" t="s">
        <v>120</v>
      </c>
      <c r="D391" t="s">
        <v>1014</v>
      </c>
      <c r="E391" t="s">
        <v>1015</v>
      </c>
      <c r="F391">
        <v>600</v>
      </c>
      <c r="G391" t="s">
        <v>2386</v>
      </c>
      <c r="H391" t="s">
        <v>1736</v>
      </c>
      <c r="I391" t="s">
        <v>2329</v>
      </c>
      <c r="J391" t="s">
        <v>2247</v>
      </c>
    </row>
    <row r="392" spans="2:10" x14ac:dyDescent="0.25">
      <c r="B392" t="s">
        <v>1979</v>
      </c>
      <c r="C392" t="s">
        <v>120</v>
      </c>
      <c r="D392" t="s">
        <v>834</v>
      </c>
      <c r="E392" t="s">
        <v>835</v>
      </c>
      <c r="F392">
        <v>300</v>
      </c>
      <c r="G392" t="s">
        <v>2386</v>
      </c>
      <c r="H392" t="s">
        <v>1736</v>
      </c>
      <c r="I392" t="s">
        <v>2329</v>
      </c>
      <c r="J392" t="s">
        <v>2247</v>
      </c>
    </row>
    <row r="393" spans="2:10" x14ac:dyDescent="0.25">
      <c r="B393" t="s">
        <v>1979</v>
      </c>
      <c r="C393" t="s">
        <v>11</v>
      </c>
      <c r="D393" t="s">
        <v>1388</v>
      </c>
      <c r="E393" t="s">
        <v>1389</v>
      </c>
      <c r="F393">
        <v>100</v>
      </c>
      <c r="G393" t="s">
        <v>2386</v>
      </c>
      <c r="H393" t="s">
        <v>1736</v>
      </c>
      <c r="I393" t="s">
        <v>2329</v>
      </c>
      <c r="J393" t="s">
        <v>2247</v>
      </c>
    </row>
    <row r="394" spans="2:10" x14ac:dyDescent="0.25">
      <c r="B394" t="s">
        <v>1979</v>
      </c>
      <c r="C394" t="s">
        <v>11</v>
      </c>
      <c r="D394" t="s">
        <v>1324</v>
      </c>
      <c r="E394" t="s">
        <v>1325</v>
      </c>
      <c r="F394">
        <v>104</v>
      </c>
      <c r="G394" t="s">
        <v>2386</v>
      </c>
      <c r="H394" t="s">
        <v>1736</v>
      </c>
      <c r="I394" t="s">
        <v>2329</v>
      </c>
      <c r="J394" t="s">
        <v>2247</v>
      </c>
    </row>
    <row r="395" spans="2:10" x14ac:dyDescent="0.25">
      <c r="B395" t="s">
        <v>1979</v>
      </c>
      <c r="C395" t="s">
        <v>11</v>
      </c>
      <c r="D395" t="s">
        <v>1324</v>
      </c>
      <c r="E395" t="s">
        <v>1325</v>
      </c>
      <c r="F395">
        <v>16</v>
      </c>
      <c r="G395" t="s">
        <v>2387</v>
      </c>
      <c r="H395" t="s">
        <v>1736</v>
      </c>
      <c r="I395" t="s">
        <v>2329</v>
      </c>
      <c r="J395" t="s">
        <v>2247</v>
      </c>
    </row>
    <row r="396" spans="2:10" x14ac:dyDescent="0.25">
      <c r="B396" t="s">
        <v>1979</v>
      </c>
      <c r="C396" t="s">
        <v>61</v>
      </c>
      <c r="D396" t="s">
        <v>1171</v>
      </c>
      <c r="E396" t="s">
        <v>1172</v>
      </c>
      <c r="F396">
        <v>60</v>
      </c>
      <c r="G396" t="s">
        <v>2386</v>
      </c>
      <c r="H396" t="s">
        <v>1736</v>
      </c>
      <c r="I396" t="s">
        <v>2329</v>
      </c>
      <c r="J396" t="s">
        <v>2247</v>
      </c>
    </row>
    <row r="397" spans="2:10" x14ac:dyDescent="0.25">
      <c r="B397" t="s">
        <v>1979</v>
      </c>
      <c r="C397" t="s">
        <v>145</v>
      </c>
      <c r="D397" t="s">
        <v>974</v>
      </c>
      <c r="E397" t="s">
        <v>975</v>
      </c>
      <c r="F397">
        <v>600</v>
      </c>
      <c r="G397" t="s">
        <v>2386</v>
      </c>
      <c r="H397" t="s">
        <v>1736</v>
      </c>
      <c r="I397" t="s">
        <v>2329</v>
      </c>
      <c r="J397" t="s">
        <v>2247</v>
      </c>
    </row>
    <row r="398" spans="2:10" x14ac:dyDescent="0.25">
      <c r="B398" t="s">
        <v>1979</v>
      </c>
      <c r="C398" t="s">
        <v>521</v>
      </c>
      <c r="D398" t="s">
        <v>1206</v>
      </c>
      <c r="E398" t="s">
        <v>1207</v>
      </c>
      <c r="F398">
        <v>1</v>
      </c>
      <c r="G398" t="s">
        <v>2386</v>
      </c>
      <c r="H398" t="s">
        <v>1736</v>
      </c>
      <c r="I398" t="s">
        <v>2329</v>
      </c>
      <c r="J398" t="s">
        <v>2247</v>
      </c>
    </row>
    <row r="399" spans="2:10" x14ac:dyDescent="0.25">
      <c r="B399" t="s">
        <v>1979</v>
      </c>
      <c r="C399" t="s">
        <v>521</v>
      </c>
      <c r="D399" t="s">
        <v>1206</v>
      </c>
      <c r="E399" t="s">
        <v>1207</v>
      </c>
      <c r="F399">
        <v>1199</v>
      </c>
      <c r="G399" t="s">
        <v>2386</v>
      </c>
      <c r="H399" t="s">
        <v>1736</v>
      </c>
      <c r="I399" t="s">
        <v>2329</v>
      </c>
      <c r="J399" t="s">
        <v>2247</v>
      </c>
    </row>
    <row r="400" spans="2:10" x14ac:dyDescent="0.25">
      <c r="B400" t="s">
        <v>1979</v>
      </c>
      <c r="C400" t="s">
        <v>521</v>
      </c>
      <c r="D400" t="s">
        <v>821</v>
      </c>
      <c r="E400" t="s">
        <v>822</v>
      </c>
      <c r="F400">
        <v>1000</v>
      </c>
      <c r="G400" t="s">
        <v>2386</v>
      </c>
      <c r="H400" t="s">
        <v>1736</v>
      </c>
      <c r="I400" t="s">
        <v>2329</v>
      </c>
      <c r="J400" t="s">
        <v>2247</v>
      </c>
    </row>
    <row r="401" spans="2:10" x14ac:dyDescent="0.25">
      <c r="B401" t="s">
        <v>1979</v>
      </c>
      <c r="C401" t="s">
        <v>52</v>
      </c>
      <c r="D401" t="s">
        <v>592</v>
      </c>
      <c r="E401" t="s">
        <v>593</v>
      </c>
      <c r="F401">
        <v>48</v>
      </c>
      <c r="G401" t="s">
        <v>2386</v>
      </c>
      <c r="H401" t="s">
        <v>1736</v>
      </c>
      <c r="I401" t="s">
        <v>2329</v>
      </c>
      <c r="J401" t="s">
        <v>2247</v>
      </c>
    </row>
    <row r="402" spans="2:10" x14ac:dyDescent="0.25">
      <c r="B402" t="s">
        <v>1979</v>
      </c>
      <c r="C402" t="s">
        <v>209</v>
      </c>
      <c r="D402" t="s">
        <v>850</v>
      </c>
      <c r="E402" t="s">
        <v>851</v>
      </c>
      <c r="F402">
        <v>60</v>
      </c>
      <c r="G402" t="s">
        <v>2386</v>
      </c>
      <c r="H402" t="s">
        <v>1736</v>
      </c>
      <c r="I402" t="s">
        <v>2329</v>
      </c>
      <c r="J402" t="s">
        <v>2247</v>
      </c>
    </row>
    <row r="403" spans="2:10" x14ac:dyDescent="0.25">
      <c r="B403" t="s">
        <v>1979</v>
      </c>
      <c r="C403" t="s">
        <v>551</v>
      </c>
      <c r="D403" t="s">
        <v>735</v>
      </c>
      <c r="E403" t="s">
        <v>736</v>
      </c>
      <c r="F403">
        <v>60</v>
      </c>
      <c r="G403" t="s">
        <v>2386</v>
      </c>
      <c r="H403" t="s">
        <v>1736</v>
      </c>
      <c r="I403" t="s">
        <v>2329</v>
      </c>
      <c r="J403" t="s">
        <v>2247</v>
      </c>
    </row>
    <row r="404" spans="2:10" x14ac:dyDescent="0.25">
      <c r="B404" t="s">
        <v>1979</v>
      </c>
      <c r="C404" t="s">
        <v>715</v>
      </c>
      <c r="D404" t="s">
        <v>716</v>
      </c>
      <c r="E404" t="s">
        <v>717</v>
      </c>
      <c r="F404">
        <v>480</v>
      </c>
      <c r="G404" t="s">
        <v>2388</v>
      </c>
      <c r="H404" t="s">
        <v>1720</v>
      </c>
      <c r="I404" t="s">
        <v>2246</v>
      </c>
      <c r="J404" t="s">
        <v>2247</v>
      </c>
    </row>
    <row r="405" spans="2:10" x14ac:dyDescent="0.25">
      <c r="B405" t="s">
        <v>1979</v>
      </c>
      <c r="C405" t="s">
        <v>715</v>
      </c>
      <c r="D405" t="s">
        <v>716</v>
      </c>
      <c r="E405" t="s">
        <v>717</v>
      </c>
      <c r="F405">
        <v>1080</v>
      </c>
      <c r="G405" t="s">
        <v>2390</v>
      </c>
      <c r="H405" t="s">
        <v>1720</v>
      </c>
      <c r="I405" t="s">
        <v>2246</v>
      </c>
      <c r="J405" t="s">
        <v>2247</v>
      </c>
    </row>
    <row r="406" spans="2:10" x14ac:dyDescent="0.25">
      <c r="B406" t="s">
        <v>1979</v>
      </c>
      <c r="C406" t="s">
        <v>715</v>
      </c>
      <c r="D406" t="s">
        <v>716</v>
      </c>
      <c r="E406" t="s">
        <v>717</v>
      </c>
      <c r="F406">
        <v>6000</v>
      </c>
      <c r="G406" t="s">
        <v>2389</v>
      </c>
      <c r="H406" t="s">
        <v>1610</v>
      </c>
      <c r="I406" t="s">
        <v>2246</v>
      </c>
      <c r="J406" t="s">
        <v>2247</v>
      </c>
    </row>
    <row r="407" spans="2:10" x14ac:dyDescent="0.25">
      <c r="B407" t="s">
        <v>1979</v>
      </c>
      <c r="C407" t="s">
        <v>120</v>
      </c>
      <c r="D407" t="s">
        <v>540</v>
      </c>
      <c r="E407" t="s">
        <v>541</v>
      </c>
      <c r="F407">
        <v>10000</v>
      </c>
      <c r="G407" t="s">
        <v>2391</v>
      </c>
      <c r="H407" t="s">
        <v>1773</v>
      </c>
      <c r="I407" t="s">
        <v>2246</v>
      </c>
      <c r="J407" t="s">
        <v>2247</v>
      </c>
    </row>
    <row r="408" spans="2:10" x14ac:dyDescent="0.25">
      <c r="B408" t="s">
        <v>1979</v>
      </c>
      <c r="C408" t="s">
        <v>40</v>
      </c>
      <c r="D408" t="s">
        <v>41</v>
      </c>
      <c r="E408" t="s">
        <v>42</v>
      </c>
      <c r="F408">
        <v>200</v>
      </c>
      <c r="G408" t="s">
        <v>2391</v>
      </c>
      <c r="H408" t="s">
        <v>1773</v>
      </c>
      <c r="I408" t="s">
        <v>2246</v>
      </c>
      <c r="J408" t="s">
        <v>2247</v>
      </c>
    </row>
    <row r="409" spans="2:10" x14ac:dyDescent="0.25">
      <c r="B409" t="s">
        <v>1979</v>
      </c>
      <c r="C409" t="s">
        <v>25</v>
      </c>
      <c r="D409" t="s">
        <v>470</v>
      </c>
      <c r="E409" t="s">
        <v>471</v>
      </c>
      <c r="F409">
        <v>480</v>
      </c>
      <c r="G409" t="s">
        <v>2392</v>
      </c>
      <c r="H409" t="s">
        <v>1773</v>
      </c>
      <c r="I409" t="s">
        <v>2246</v>
      </c>
      <c r="J409" t="s">
        <v>2247</v>
      </c>
    </row>
    <row r="410" spans="2:10" x14ac:dyDescent="0.25">
      <c r="B410" t="s">
        <v>1979</v>
      </c>
      <c r="C410" t="s">
        <v>25</v>
      </c>
      <c r="D410" t="s">
        <v>470</v>
      </c>
      <c r="E410" t="s">
        <v>471</v>
      </c>
      <c r="F410">
        <v>520</v>
      </c>
      <c r="G410" t="s">
        <v>2391</v>
      </c>
      <c r="H410" t="s">
        <v>1773</v>
      </c>
      <c r="I410" t="s">
        <v>2246</v>
      </c>
      <c r="J410" t="s">
        <v>2247</v>
      </c>
    </row>
    <row r="411" spans="2:10" x14ac:dyDescent="0.25">
      <c r="B411" t="s">
        <v>1979</v>
      </c>
      <c r="C411" t="s">
        <v>61</v>
      </c>
      <c r="D411" t="s">
        <v>231</v>
      </c>
      <c r="E411" t="s">
        <v>232</v>
      </c>
      <c r="F411">
        <v>1680</v>
      </c>
      <c r="G411" t="s">
        <v>2393</v>
      </c>
      <c r="H411" t="s">
        <v>1610</v>
      </c>
      <c r="I411" t="s">
        <v>2246</v>
      </c>
      <c r="J411" t="s">
        <v>2247</v>
      </c>
    </row>
    <row r="412" spans="2:10" x14ac:dyDescent="0.25">
      <c r="B412" t="s">
        <v>1979</v>
      </c>
      <c r="C412" t="s">
        <v>61</v>
      </c>
      <c r="D412" t="s">
        <v>231</v>
      </c>
      <c r="E412" t="s">
        <v>232</v>
      </c>
      <c r="F412">
        <v>1680</v>
      </c>
      <c r="G412" t="s">
        <v>2389</v>
      </c>
      <c r="H412" t="s">
        <v>1610</v>
      </c>
      <c r="I412" t="s">
        <v>2246</v>
      </c>
      <c r="J412" t="s">
        <v>2247</v>
      </c>
    </row>
    <row r="413" spans="2:10" x14ac:dyDescent="0.25">
      <c r="B413" t="s">
        <v>1979</v>
      </c>
      <c r="C413" t="s">
        <v>11</v>
      </c>
      <c r="D413" t="s">
        <v>1326</v>
      </c>
      <c r="E413" t="s">
        <v>1327</v>
      </c>
      <c r="F413">
        <v>20</v>
      </c>
      <c r="G413" t="s">
        <v>2518</v>
      </c>
      <c r="H413" t="s">
        <v>1742</v>
      </c>
      <c r="I413" t="s">
        <v>2519</v>
      </c>
      <c r="J413" t="s">
        <v>2247</v>
      </c>
    </row>
    <row r="414" spans="2:10" x14ac:dyDescent="0.25">
      <c r="B414" t="s">
        <v>1979</v>
      </c>
      <c r="C414" t="s">
        <v>20</v>
      </c>
      <c r="D414" t="s">
        <v>459</v>
      </c>
      <c r="E414" t="s">
        <v>460</v>
      </c>
      <c r="F414">
        <v>20</v>
      </c>
      <c r="G414" t="s">
        <v>2518</v>
      </c>
      <c r="H414" t="s">
        <v>1742</v>
      </c>
      <c r="I414" t="s">
        <v>2519</v>
      </c>
      <c r="J414" t="s">
        <v>2247</v>
      </c>
    </row>
    <row r="415" spans="2:10" x14ac:dyDescent="0.25">
      <c r="B415" t="s">
        <v>1979</v>
      </c>
      <c r="C415" t="s">
        <v>585</v>
      </c>
      <c r="D415" t="s">
        <v>586</v>
      </c>
      <c r="E415" t="s">
        <v>587</v>
      </c>
      <c r="F415">
        <v>40</v>
      </c>
      <c r="G415" t="s">
        <v>2518</v>
      </c>
      <c r="H415" t="s">
        <v>1742</v>
      </c>
      <c r="I415" t="s">
        <v>2519</v>
      </c>
      <c r="J415" t="s">
        <v>2247</v>
      </c>
    </row>
    <row r="416" spans="2:10" x14ac:dyDescent="0.25">
      <c r="B416" t="s">
        <v>1979</v>
      </c>
      <c r="C416" t="s">
        <v>148</v>
      </c>
      <c r="D416" t="s">
        <v>544</v>
      </c>
      <c r="E416" t="s">
        <v>545</v>
      </c>
      <c r="F416">
        <v>20</v>
      </c>
      <c r="G416" t="s">
        <v>2518</v>
      </c>
      <c r="H416" t="s">
        <v>1742</v>
      </c>
      <c r="I416" t="s">
        <v>2519</v>
      </c>
      <c r="J416" t="s">
        <v>2247</v>
      </c>
    </row>
    <row r="417" spans="2:10" x14ac:dyDescent="0.25">
      <c r="B417" t="s">
        <v>1979</v>
      </c>
      <c r="C417" t="s">
        <v>8</v>
      </c>
      <c r="D417" t="s">
        <v>605</v>
      </c>
      <c r="E417" t="s">
        <v>606</v>
      </c>
      <c r="F417">
        <v>1500</v>
      </c>
      <c r="G417" t="s">
        <v>2394</v>
      </c>
      <c r="H417" t="s">
        <v>2110</v>
      </c>
      <c r="I417" t="s">
        <v>2297</v>
      </c>
      <c r="J417" t="s">
        <v>2247</v>
      </c>
    </row>
    <row r="418" spans="2:10" x14ac:dyDescent="0.25">
      <c r="B418" t="s">
        <v>1979</v>
      </c>
      <c r="C418" t="s">
        <v>203</v>
      </c>
      <c r="D418" t="s">
        <v>963</v>
      </c>
      <c r="E418" t="s">
        <v>964</v>
      </c>
      <c r="F418">
        <v>500</v>
      </c>
      <c r="G418" t="s">
        <v>2394</v>
      </c>
      <c r="H418" t="s">
        <v>2110</v>
      </c>
      <c r="I418" t="s">
        <v>2297</v>
      </c>
      <c r="J418" t="s">
        <v>2247</v>
      </c>
    </row>
    <row r="419" spans="2:10" x14ac:dyDescent="0.25">
      <c r="B419" t="s">
        <v>1979</v>
      </c>
      <c r="C419" t="s">
        <v>145</v>
      </c>
      <c r="D419" t="s">
        <v>146</v>
      </c>
      <c r="E419" t="s">
        <v>147</v>
      </c>
      <c r="F419">
        <v>1000</v>
      </c>
      <c r="G419" t="s">
        <v>2395</v>
      </c>
      <c r="H419" t="s">
        <v>1640</v>
      </c>
      <c r="I419" t="s">
        <v>2396</v>
      </c>
      <c r="J419" t="s">
        <v>2247</v>
      </c>
    </row>
    <row r="420" spans="2:10" x14ac:dyDescent="0.25">
      <c r="B420" t="s">
        <v>1979</v>
      </c>
      <c r="C420" t="s">
        <v>145</v>
      </c>
      <c r="D420" t="s">
        <v>225</v>
      </c>
      <c r="E420" t="s">
        <v>226</v>
      </c>
      <c r="F420">
        <v>200</v>
      </c>
      <c r="G420" t="s">
        <v>2395</v>
      </c>
      <c r="H420" t="s">
        <v>1640</v>
      </c>
      <c r="I420" t="s">
        <v>2396</v>
      </c>
      <c r="J420" t="s">
        <v>2247</v>
      </c>
    </row>
    <row r="421" spans="2:10" x14ac:dyDescent="0.25">
      <c r="B421" t="s">
        <v>1979</v>
      </c>
      <c r="C421" t="s">
        <v>715</v>
      </c>
      <c r="D421" t="s">
        <v>716</v>
      </c>
      <c r="E421" t="s">
        <v>717</v>
      </c>
      <c r="F421">
        <v>600</v>
      </c>
      <c r="G421" t="s">
        <v>2397</v>
      </c>
      <c r="H421" t="s">
        <v>1658</v>
      </c>
      <c r="I421" t="s">
        <v>2367</v>
      </c>
      <c r="J421" t="s">
        <v>2247</v>
      </c>
    </row>
    <row r="422" spans="2:10" x14ac:dyDescent="0.25">
      <c r="B422" t="s">
        <v>1979</v>
      </c>
      <c r="C422" t="s">
        <v>31</v>
      </c>
      <c r="D422" t="s">
        <v>580</v>
      </c>
      <c r="E422" t="s">
        <v>581</v>
      </c>
      <c r="F422">
        <v>9180</v>
      </c>
      <c r="G422" t="s">
        <v>2402</v>
      </c>
      <c r="H422" t="s">
        <v>1640</v>
      </c>
      <c r="I422" t="s">
        <v>2246</v>
      </c>
      <c r="J422" t="s">
        <v>2247</v>
      </c>
    </row>
    <row r="423" spans="2:10" x14ac:dyDescent="0.25">
      <c r="B423" t="s">
        <v>1979</v>
      </c>
      <c r="C423" t="s">
        <v>272</v>
      </c>
      <c r="D423" t="s">
        <v>1342</v>
      </c>
      <c r="E423" t="s">
        <v>1343</v>
      </c>
      <c r="F423">
        <v>20</v>
      </c>
      <c r="G423" t="s">
        <v>2398</v>
      </c>
      <c r="H423" t="s">
        <v>1610</v>
      </c>
      <c r="I423" t="s">
        <v>2246</v>
      </c>
      <c r="J423" t="s">
        <v>2247</v>
      </c>
    </row>
    <row r="424" spans="2:10" x14ac:dyDescent="0.25">
      <c r="B424" t="s">
        <v>1979</v>
      </c>
      <c r="C424" t="s">
        <v>272</v>
      </c>
      <c r="D424" t="s">
        <v>1342</v>
      </c>
      <c r="E424" t="s">
        <v>1343</v>
      </c>
      <c r="F424">
        <v>20</v>
      </c>
      <c r="G424" t="s">
        <v>2401</v>
      </c>
      <c r="H424" t="s">
        <v>1610</v>
      </c>
      <c r="I424" t="s">
        <v>2246</v>
      </c>
      <c r="J424" t="s">
        <v>2247</v>
      </c>
    </row>
    <row r="425" spans="2:10" x14ac:dyDescent="0.25">
      <c r="B425" t="s">
        <v>1979</v>
      </c>
      <c r="C425" t="s">
        <v>272</v>
      </c>
      <c r="D425" t="s">
        <v>1342</v>
      </c>
      <c r="E425" t="s">
        <v>1343</v>
      </c>
      <c r="F425">
        <v>60</v>
      </c>
      <c r="G425" t="s">
        <v>2401</v>
      </c>
      <c r="H425" t="s">
        <v>1610</v>
      </c>
      <c r="I425" t="s">
        <v>2246</v>
      </c>
      <c r="J425" t="s">
        <v>2247</v>
      </c>
    </row>
    <row r="426" spans="2:10" x14ac:dyDescent="0.25">
      <c r="B426" t="s">
        <v>1979</v>
      </c>
      <c r="C426" t="s">
        <v>715</v>
      </c>
      <c r="D426" t="s">
        <v>716</v>
      </c>
      <c r="E426" t="s">
        <v>717</v>
      </c>
      <c r="F426">
        <v>480</v>
      </c>
      <c r="G426" t="s">
        <v>2398</v>
      </c>
      <c r="H426" t="s">
        <v>1610</v>
      </c>
      <c r="I426" t="s">
        <v>2246</v>
      </c>
      <c r="J426" t="s">
        <v>2247</v>
      </c>
    </row>
    <row r="427" spans="2:10" x14ac:dyDescent="0.25">
      <c r="B427" t="s">
        <v>1979</v>
      </c>
      <c r="C427" t="s">
        <v>148</v>
      </c>
      <c r="D427" t="s">
        <v>1346</v>
      </c>
      <c r="E427" t="s">
        <v>1347</v>
      </c>
      <c r="F427">
        <v>120</v>
      </c>
      <c r="G427" t="s">
        <v>2399</v>
      </c>
      <c r="H427" t="s">
        <v>1610</v>
      </c>
      <c r="I427" t="s">
        <v>2246</v>
      </c>
      <c r="J427" t="s">
        <v>2247</v>
      </c>
    </row>
    <row r="428" spans="2:10" x14ac:dyDescent="0.25">
      <c r="B428" t="s">
        <v>1979</v>
      </c>
      <c r="C428" t="s">
        <v>61</v>
      </c>
      <c r="D428" t="s">
        <v>231</v>
      </c>
      <c r="E428" t="s">
        <v>232</v>
      </c>
      <c r="F428">
        <v>1000</v>
      </c>
      <c r="G428" t="s">
        <v>2398</v>
      </c>
      <c r="H428" t="s">
        <v>1610</v>
      </c>
      <c r="I428" t="s">
        <v>2246</v>
      </c>
      <c r="J428" t="s">
        <v>2247</v>
      </c>
    </row>
    <row r="429" spans="2:10" x14ac:dyDescent="0.25">
      <c r="B429" t="s">
        <v>1979</v>
      </c>
      <c r="C429" t="s">
        <v>209</v>
      </c>
      <c r="D429" t="s">
        <v>210</v>
      </c>
      <c r="E429" t="s">
        <v>211</v>
      </c>
      <c r="F429">
        <v>400</v>
      </c>
      <c r="G429" t="s">
        <v>2398</v>
      </c>
      <c r="H429" t="s">
        <v>1610</v>
      </c>
      <c r="I429" t="s">
        <v>2246</v>
      </c>
      <c r="J429" t="s">
        <v>2247</v>
      </c>
    </row>
    <row r="430" spans="2:10" x14ac:dyDescent="0.25">
      <c r="B430" t="s">
        <v>1979</v>
      </c>
      <c r="C430" t="s">
        <v>8</v>
      </c>
      <c r="D430" t="s">
        <v>605</v>
      </c>
      <c r="E430" t="s">
        <v>606</v>
      </c>
      <c r="F430">
        <v>280</v>
      </c>
      <c r="G430" t="s">
        <v>2398</v>
      </c>
      <c r="H430" t="s">
        <v>1610</v>
      </c>
      <c r="I430" t="s">
        <v>2246</v>
      </c>
      <c r="J430" t="s">
        <v>2247</v>
      </c>
    </row>
    <row r="431" spans="2:10" x14ac:dyDescent="0.25">
      <c r="B431" t="s">
        <v>1979</v>
      </c>
      <c r="C431" t="s">
        <v>8</v>
      </c>
      <c r="D431" t="s">
        <v>605</v>
      </c>
      <c r="E431" t="s">
        <v>606</v>
      </c>
      <c r="F431">
        <v>720</v>
      </c>
      <c r="G431" t="s">
        <v>2398</v>
      </c>
      <c r="H431" t="s">
        <v>1610</v>
      </c>
      <c r="I431" t="s">
        <v>2246</v>
      </c>
      <c r="J431" t="s">
        <v>2247</v>
      </c>
    </row>
    <row r="432" spans="2:10" x14ac:dyDescent="0.25">
      <c r="B432" t="s">
        <v>1979</v>
      </c>
      <c r="C432" t="s">
        <v>25</v>
      </c>
      <c r="D432" t="s">
        <v>470</v>
      </c>
      <c r="E432" t="s">
        <v>471</v>
      </c>
      <c r="F432">
        <v>48</v>
      </c>
      <c r="G432" t="s">
        <v>2398</v>
      </c>
      <c r="H432" t="s">
        <v>1610</v>
      </c>
      <c r="I432" t="s">
        <v>2246</v>
      </c>
      <c r="J432" t="s">
        <v>2247</v>
      </c>
    </row>
    <row r="433" spans="2:10" x14ac:dyDescent="0.25">
      <c r="B433" t="s">
        <v>1979</v>
      </c>
      <c r="C433" t="s">
        <v>377</v>
      </c>
      <c r="D433" t="s">
        <v>378</v>
      </c>
      <c r="E433" t="s">
        <v>379</v>
      </c>
      <c r="F433">
        <v>720</v>
      </c>
      <c r="G433" t="s">
        <v>2398</v>
      </c>
      <c r="H433" t="s">
        <v>1610</v>
      </c>
      <c r="I433" t="s">
        <v>2246</v>
      </c>
      <c r="J433" t="s">
        <v>2247</v>
      </c>
    </row>
    <row r="434" spans="2:10" x14ac:dyDescent="0.25">
      <c r="B434" t="s">
        <v>1979</v>
      </c>
      <c r="C434" t="s">
        <v>377</v>
      </c>
      <c r="D434" t="s">
        <v>378</v>
      </c>
      <c r="E434" t="s">
        <v>379</v>
      </c>
      <c r="F434">
        <v>300</v>
      </c>
      <c r="G434" t="s">
        <v>2398</v>
      </c>
      <c r="H434" t="s">
        <v>1610</v>
      </c>
      <c r="I434" t="s">
        <v>2246</v>
      </c>
      <c r="J434" t="s">
        <v>2247</v>
      </c>
    </row>
    <row r="435" spans="2:10" x14ac:dyDescent="0.25">
      <c r="B435" t="s">
        <v>1979</v>
      </c>
      <c r="C435" t="s">
        <v>377</v>
      </c>
      <c r="D435" t="s">
        <v>378</v>
      </c>
      <c r="E435" t="s">
        <v>379</v>
      </c>
      <c r="F435">
        <v>510</v>
      </c>
      <c r="G435" t="s">
        <v>2400</v>
      </c>
      <c r="H435" t="s">
        <v>1610</v>
      </c>
      <c r="I435" t="s">
        <v>2246</v>
      </c>
      <c r="J435" t="s">
        <v>2247</v>
      </c>
    </row>
    <row r="436" spans="2:10" x14ac:dyDescent="0.25">
      <c r="B436" t="s">
        <v>1979</v>
      </c>
      <c r="C436" t="s">
        <v>17</v>
      </c>
      <c r="D436" t="s">
        <v>255</v>
      </c>
      <c r="E436" t="s">
        <v>256</v>
      </c>
      <c r="F436">
        <v>1000</v>
      </c>
      <c r="G436" t="s">
        <v>2403</v>
      </c>
      <c r="H436" t="s">
        <v>1773</v>
      </c>
      <c r="I436" t="s">
        <v>2367</v>
      </c>
      <c r="J436" t="s">
        <v>2247</v>
      </c>
    </row>
    <row r="437" spans="2:10" x14ac:dyDescent="0.25">
      <c r="B437" t="s">
        <v>1979</v>
      </c>
      <c r="C437" t="s">
        <v>17</v>
      </c>
      <c r="D437" t="s">
        <v>255</v>
      </c>
      <c r="E437" t="s">
        <v>256</v>
      </c>
      <c r="F437">
        <v>240</v>
      </c>
      <c r="G437" t="s">
        <v>2404</v>
      </c>
      <c r="H437" t="s">
        <v>1654</v>
      </c>
      <c r="I437" t="s">
        <v>2367</v>
      </c>
      <c r="J437" t="s">
        <v>2247</v>
      </c>
    </row>
    <row r="438" spans="2:10" x14ac:dyDescent="0.25">
      <c r="B438" t="s">
        <v>1979</v>
      </c>
      <c r="C438" t="s">
        <v>25</v>
      </c>
      <c r="D438" t="s">
        <v>470</v>
      </c>
      <c r="E438" t="s">
        <v>471</v>
      </c>
      <c r="F438">
        <v>70</v>
      </c>
      <c r="G438" t="s">
        <v>2407</v>
      </c>
      <c r="H438" t="s">
        <v>1746</v>
      </c>
      <c r="I438" t="s">
        <v>2367</v>
      </c>
      <c r="J438" t="s">
        <v>2247</v>
      </c>
    </row>
    <row r="439" spans="2:10" x14ac:dyDescent="0.25">
      <c r="B439" t="s">
        <v>1979</v>
      </c>
      <c r="C439" t="s">
        <v>25</v>
      </c>
      <c r="D439" t="s">
        <v>470</v>
      </c>
      <c r="E439" t="s">
        <v>471</v>
      </c>
      <c r="F439">
        <v>50</v>
      </c>
      <c r="G439" t="s">
        <v>2405</v>
      </c>
      <c r="H439" t="s">
        <v>1773</v>
      </c>
      <c r="I439" t="s">
        <v>2367</v>
      </c>
      <c r="J439" t="s">
        <v>2247</v>
      </c>
    </row>
    <row r="440" spans="2:10" x14ac:dyDescent="0.25">
      <c r="B440" t="s">
        <v>1979</v>
      </c>
      <c r="C440" t="s">
        <v>25</v>
      </c>
      <c r="D440" t="s">
        <v>470</v>
      </c>
      <c r="E440" t="s">
        <v>471</v>
      </c>
      <c r="F440">
        <v>20</v>
      </c>
      <c r="G440" t="s">
        <v>2406</v>
      </c>
      <c r="H440" t="s">
        <v>1773</v>
      </c>
      <c r="I440" t="s">
        <v>2367</v>
      </c>
      <c r="J440" t="s">
        <v>2247</v>
      </c>
    </row>
    <row r="441" spans="2:10" x14ac:dyDescent="0.25">
      <c r="B441" t="s">
        <v>1979</v>
      </c>
      <c r="C441" t="s">
        <v>25</v>
      </c>
      <c r="D441" t="s">
        <v>470</v>
      </c>
      <c r="E441" t="s">
        <v>471</v>
      </c>
      <c r="F441">
        <v>6</v>
      </c>
      <c r="G441" t="s">
        <v>2520</v>
      </c>
      <c r="H441" t="s">
        <v>1629</v>
      </c>
      <c r="I441" t="s">
        <v>1973</v>
      </c>
      <c r="J441" t="s">
        <v>2247</v>
      </c>
    </row>
    <row r="442" spans="2:10" x14ac:dyDescent="0.25">
      <c r="B442" t="s">
        <v>1979</v>
      </c>
      <c r="C442" t="s">
        <v>80</v>
      </c>
      <c r="D442" t="s">
        <v>240</v>
      </c>
      <c r="E442" t="s">
        <v>241</v>
      </c>
      <c r="F442">
        <v>10</v>
      </c>
      <c r="G442" t="s">
        <v>2520</v>
      </c>
      <c r="H442" t="s">
        <v>1629</v>
      </c>
      <c r="I442" t="s">
        <v>1973</v>
      </c>
      <c r="J442" t="s">
        <v>2247</v>
      </c>
    </row>
    <row r="443" spans="2:10" x14ac:dyDescent="0.25">
      <c r="B443" t="s">
        <v>1979</v>
      </c>
      <c r="C443" t="s">
        <v>705</v>
      </c>
      <c r="D443" t="s">
        <v>706</v>
      </c>
      <c r="E443" t="s">
        <v>707</v>
      </c>
      <c r="F443">
        <v>40</v>
      </c>
      <c r="G443" t="s">
        <v>2520</v>
      </c>
      <c r="H443" t="s">
        <v>1629</v>
      </c>
      <c r="I443" t="s">
        <v>1973</v>
      </c>
      <c r="J443" t="s">
        <v>2247</v>
      </c>
    </row>
    <row r="444" spans="2:10" x14ac:dyDescent="0.25">
      <c r="B444" t="s">
        <v>1979</v>
      </c>
      <c r="C444" t="s">
        <v>20</v>
      </c>
      <c r="D444" t="s">
        <v>459</v>
      </c>
      <c r="E444" t="s">
        <v>460</v>
      </c>
      <c r="F444">
        <v>20</v>
      </c>
      <c r="G444" t="s">
        <v>2520</v>
      </c>
      <c r="H444" t="s">
        <v>1629</v>
      </c>
      <c r="I444" t="s">
        <v>1973</v>
      </c>
      <c r="J444" t="s">
        <v>2247</v>
      </c>
    </row>
    <row r="445" spans="2:10" x14ac:dyDescent="0.25">
      <c r="B445" t="s">
        <v>1979</v>
      </c>
      <c r="C445" t="s">
        <v>518</v>
      </c>
      <c r="D445" t="s">
        <v>1332</v>
      </c>
      <c r="E445" t="s">
        <v>1333</v>
      </c>
      <c r="F445">
        <v>20</v>
      </c>
      <c r="G445" t="s">
        <v>2520</v>
      </c>
      <c r="H445" t="s">
        <v>1629</v>
      </c>
      <c r="I445" t="s">
        <v>1973</v>
      </c>
      <c r="J445" t="s">
        <v>2247</v>
      </c>
    </row>
    <row r="446" spans="2:10" x14ac:dyDescent="0.25">
      <c r="B446" t="s">
        <v>1979</v>
      </c>
      <c r="C446" t="s">
        <v>518</v>
      </c>
      <c r="D446" t="s">
        <v>1202</v>
      </c>
      <c r="E446" t="s">
        <v>1203</v>
      </c>
      <c r="F446">
        <v>80</v>
      </c>
      <c r="G446" t="s">
        <v>2520</v>
      </c>
      <c r="H446" t="s">
        <v>1629</v>
      </c>
      <c r="I446" t="s">
        <v>1973</v>
      </c>
      <c r="J446" t="s">
        <v>2247</v>
      </c>
    </row>
    <row r="447" spans="2:10" x14ac:dyDescent="0.25">
      <c r="B447" t="s">
        <v>1979</v>
      </c>
      <c r="C447" t="s">
        <v>52</v>
      </c>
      <c r="D447" t="s">
        <v>722</v>
      </c>
      <c r="E447" t="s">
        <v>723</v>
      </c>
      <c r="F447">
        <v>20</v>
      </c>
      <c r="G447" t="s">
        <v>2520</v>
      </c>
      <c r="H447" t="s">
        <v>1629</v>
      </c>
      <c r="I447" t="s">
        <v>1973</v>
      </c>
      <c r="J447" t="s">
        <v>2247</v>
      </c>
    </row>
    <row r="448" spans="2:10" x14ac:dyDescent="0.25">
      <c r="B448" t="s">
        <v>1979</v>
      </c>
      <c r="C448" t="s">
        <v>83</v>
      </c>
      <c r="D448" t="s">
        <v>242</v>
      </c>
      <c r="E448" t="s">
        <v>243</v>
      </c>
      <c r="F448">
        <v>15</v>
      </c>
      <c r="G448" t="s">
        <v>2520</v>
      </c>
      <c r="H448" t="s">
        <v>1629</v>
      </c>
      <c r="I448" t="s">
        <v>1973</v>
      </c>
      <c r="J448" t="s">
        <v>2247</v>
      </c>
    </row>
    <row r="449" spans="2:10" x14ac:dyDescent="0.25">
      <c r="B449" t="s">
        <v>1979</v>
      </c>
      <c r="C449" t="s">
        <v>83</v>
      </c>
      <c r="D449" t="s">
        <v>993</v>
      </c>
      <c r="E449" t="s">
        <v>994</v>
      </c>
      <c r="F449">
        <v>20</v>
      </c>
      <c r="G449" t="s">
        <v>2520</v>
      </c>
      <c r="H449" t="s">
        <v>1629</v>
      </c>
      <c r="I449" t="s">
        <v>1973</v>
      </c>
      <c r="J449" t="s">
        <v>2247</v>
      </c>
    </row>
    <row r="450" spans="2:10" x14ac:dyDescent="0.25">
      <c r="B450" t="s">
        <v>1979</v>
      </c>
      <c r="C450" t="s">
        <v>11</v>
      </c>
      <c r="D450" t="s">
        <v>1326</v>
      </c>
      <c r="E450" t="s">
        <v>1327</v>
      </c>
      <c r="F450">
        <v>40</v>
      </c>
      <c r="G450" t="s">
        <v>2520</v>
      </c>
      <c r="H450" t="s">
        <v>1629</v>
      </c>
      <c r="I450" t="s">
        <v>1973</v>
      </c>
      <c r="J450" t="s">
        <v>2247</v>
      </c>
    </row>
    <row r="451" spans="2:10" x14ac:dyDescent="0.25">
      <c r="B451" t="s">
        <v>1979</v>
      </c>
      <c r="C451" t="s">
        <v>120</v>
      </c>
      <c r="D451" t="s">
        <v>540</v>
      </c>
      <c r="E451" t="s">
        <v>541</v>
      </c>
      <c r="F451">
        <v>20</v>
      </c>
      <c r="G451" t="s">
        <v>2520</v>
      </c>
      <c r="H451" t="s">
        <v>1629</v>
      </c>
      <c r="I451" t="s">
        <v>1973</v>
      </c>
      <c r="J451" t="s">
        <v>2247</v>
      </c>
    </row>
    <row r="452" spans="2:10" x14ac:dyDescent="0.25">
      <c r="B452" t="s">
        <v>1979</v>
      </c>
      <c r="C452" t="s">
        <v>120</v>
      </c>
      <c r="D452" t="s">
        <v>834</v>
      </c>
      <c r="E452" t="s">
        <v>835</v>
      </c>
      <c r="F452">
        <v>100</v>
      </c>
      <c r="G452" t="s">
        <v>2408</v>
      </c>
      <c r="H452" t="s">
        <v>1789</v>
      </c>
      <c r="I452" t="s">
        <v>1973</v>
      </c>
      <c r="J452" t="s">
        <v>2247</v>
      </c>
    </row>
    <row r="453" spans="2:10" x14ac:dyDescent="0.25">
      <c r="B453" t="s">
        <v>1979</v>
      </c>
      <c r="C453" t="s">
        <v>120</v>
      </c>
      <c r="D453" t="s">
        <v>540</v>
      </c>
      <c r="E453" t="s">
        <v>541</v>
      </c>
      <c r="F453">
        <v>120</v>
      </c>
      <c r="G453" t="s">
        <v>2408</v>
      </c>
      <c r="H453" t="s">
        <v>1789</v>
      </c>
      <c r="I453" t="s">
        <v>1973</v>
      </c>
      <c r="J453" t="s">
        <v>2247</v>
      </c>
    </row>
    <row r="454" spans="2:10" x14ac:dyDescent="0.25">
      <c r="B454" t="s">
        <v>1979</v>
      </c>
      <c r="C454" t="s">
        <v>11</v>
      </c>
      <c r="D454" t="s">
        <v>1388</v>
      </c>
      <c r="E454" t="s">
        <v>1389</v>
      </c>
      <c r="F454">
        <v>70</v>
      </c>
      <c r="G454" t="s">
        <v>2408</v>
      </c>
      <c r="H454" t="s">
        <v>1789</v>
      </c>
      <c r="I454" t="s">
        <v>1973</v>
      </c>
      <c r="J454" t="s">
        <v>2247</v>
      </c>
    </row>
    <row r="455" spans="2:10" x14ac:dyDescent="0.25">
      <c r="B455" t="s">
        <v>1979</v>
      </c>
      <c r="C455" t="s">
        <v>145</v>
      </c>
      <c r="D455" t="s">
        <v>146</v>
      </c>
      <c r="E455" t="s">
        <v>147</v>
      </c>
      <c r="F455">
        <v>140</v>
      </c>
      <c r="G455" t="s">
        <v>2408</v>
      </c>
      <c r="H455" t="s">
        <v>1789</v>
      </c>
      <c r="I455" t="s">
        <v>1973</v>
      </c>
      <c r="J455" t="s">
        <v>2247</v>
      </c>
    </row>
    <row r="456" spans="2:10" x14ac:dyDescent="0.25">
      <c r="B456" t="s">
        <v>1979</v>
      </c>
      <c r="C456" t="s">
        <v>52</v>
      </c>
      <c r="D456" t="s">
        <v>578</v>
      </c>
      <c r="E456" t="s">
        <v>579</v>
      </c>
      <c r="F456">
        <v>35</v>
      </c>
      <c r="G456" t="s">
        <v>2408</v>
      </c>
      <c r="H456" t="s">
        <v>1789</v>
      </c>
      <c r="I456" t="s">
        <v>1973</v>
      </c>
      <c r="J456" t="s">
        <v>2247</v>
      </c>
    </row>
    <row r="457" spans="2:10" x14ac:dyDescent="0.25">
      <c r="B457" t="s">
        <v>1979</v>
      </c>
      <c r="C457" t="s">
        <v>161</v>
      </c>
      <c r="D457" t="s">
        <v>162</v>
      </c>
      <c r="E457" t="s">
        <v>163</v>
      </c>
      <c r="F457">
        <v>100</v>
      </c>
      <c r="G457" t="s">
        <v>2409</v>
      </c>
      <c r="H457" t="s">
        <v>1752</v>
      </c>
      <c r="I457" t="s">
        <v>1973</v>
      </c>
      <c r="J457" t="s">
        <v>2247</v>
      </c>
    </row>
    <row r="458" spans="2:10" x14ac:dyDescent="0.25">
      <c r="B458" t="s">
        <v>1979</v>
      </c>
      <c r="C458" t="s">
        <v>161</v>
      </c>
      <c r="D458" t="s">
        <v>1336</v>
      </c>
      <c r="E458" t="s">
        <v>1337</v>
      </c>
      <c r="F458">
        <v>80</v>
      </c>
      <c r="G458" t="s">
        <v>2409</v>
      </c>
      <c r="H458" t="s">
        <v>1752</v>
      </c>
      <c r="I458" t="s">
        <v>1973</v>
      </c>
      <c r="J458" t="s">
        <v>2247</v>
      </c>
    </row>
    <row r="459" spans="2:10" x14ac:dyDescent="0.25">
      <c r="B459" t="s">
        <v>1979</v>
      </c>
      <c r="C459" t="s">
        <v>161</v>
      </c>
      <c r="D459" t="s">
        <v>1336</v>
      </c>
      <c r="E459" t="s">
        <v>1337</v>
      </c>
      <c r="F459">
        <v>320</v>
      </c>
      <c r="G459" t="s">
        <v>2409</v>
      </c>
      <c r="H459" t="s">
        <v>1752</v>
      </c>
      <c r="I459" t="s">
        <v>1973</v>
      </c>
      <c r="J459" t="s">
        <v>2247</v>
      </c>
    </row>
    <row r="460" spans="2:10" x14ac:dyDescent="0.25">
      <c r="B460" t="s">
        <v>1979</v>
      </c>
      <c r="C460" t="s">
        <v>209</v>
      </c>
      <c r="D460" t="s">
        <v>965</v>
      </c>
      <c r="E460" t="s">
        <v>966</v>
      </c>
      <c r="F460">
        <v>40</v>
      </c>
      <c r="G460" t="s">
        <v>2408</v>
      </c>
      <c r="H460" t="s">
        <v>1789</v>
      </c>
      <c r="I460" t="s">
        <v>1973</v>
      </c>
      <c r="J460" t="s">
        <v>2247</v>
      </c>
    </row>
    <row r="461" spans="2:10" x14ac:dyDescent="0.25">
      <c r="B461" t="s">
        <v>1979</v>
      </c>
      <c r="C461" t="s">
        <v>209</v>
      </c>
      <c r="D461" t="s">
        <v>210</v>
      </c>
      <c r="E461" t="s">
        <v>211</v>
      </c>
      <c r="F461">
        <v>40</v>
      </c>
      <c r="G461" t="s">
        <v>2408</v>
      </c>
      <c r="H461" t="s">
        <v>1789</v>
      </c>
      <c r="I461" t="s">
        <v>1973</v>
      </c>
      <c r="J461" t="s">
        <v>2247</v>
      </c>
    </row>
    <row r="462" spans="2:10" x14ac:dyDescent="0.25">
      <c r="B462" t="s">
        <v>1979</v>
      </c>
      <c r="C462" t="s">
        <v>20</v>
      </c>
      <c r="D462" t="s">
        <v>459</v>
      </c>
      <c r="E462" t="s">
        <v>460</v>
      </c>
      <c r="F462">
        <v>220</v>
      </c>
      <c r="G462" t="s">
        <v>2408</v>
      </c>
      <c r="H462" t="s">
        <v>1789</v>
      </c>
      <c r="I462" t="s">
        <v>1973</v>
      </c>
      <c r="J462" t="s">
        <v>2247</v>
      </c>
    </row>
    <row r="463" spans="2:10" x14ac:dyDescent="0.25">
      <c r="B463" t="s">
        <v>1979</v>
      </c>
      <c r="C463" t="s">
        <v>20</v>
      </c>
      <c r="D463" t="s">
        <v>1003</v>
      </c>
      <c r="E463" t="s">
        <v>1004</v>
      </c>
      <c r="F463">
        <v>50</v>
      </c>
      <c r="G463" t="s">
        <v>2408</v>
      </c>
      <c r="H463" t="s">
        <v>1789</v>
      </c>
      <c r="I463" t="s">
        <v>1973</v>
      </c>
      <c r="J463" t="s">
        <v>2247</v>
      </c>
    </row>
    <row r="464" spans="2:10" x14ac:dyDescent="0.25">
      <c r="B464" t="s">
        <v>1979</v>
      </c>
      <c r="C464" t="s">
        <v>705</v>
      </c>
      <c r="D464" t="s">
        <v>706</v>
      </c>
      <c r="E464" t="s">
        <v>707</v>
      </c>
      <c r="F464">
        <v>100</v>
      </c>
      <c r="G464" t="s">
        <v>2408</v>
      </c>
      <c r="H464" t="s">
        <v>1789</v>
      </c>
      <c r="I464" t="s">
        <v>1973</v>
      </c>
      <c r="J464" t="s">
        <v>2247</v>
      </c>
    </row>
    <row r="465" spans="2:10" x14ac:dyDescent="0.25">
      <c r="B465" t="s">
        <v>1979</v>
      </c>
      <c r="C465" t="s">
        <v>705</v>
      </c>
      <c r="D465" t="s">
        <v>1117</v>
      </c>
      <c r="E465" t="s">
        <v>1118</v>
      </c>
      <c r="F465">
        <v>50</v>
      </c>
      <c r="G465" t="s">
        <v>2408</v>
      </c>
      <c r="H465" t="s">
        <v>1789</v>
      </c>
      <c r="I465" t="s">
        <v>1973</v>
      </c>
      <c r="J465" t="s">
        <v>2247</v>
      </c>
    </row>
    <row r="466" spans="2:10" x14ac:dyDescent="0.25">
      <c r="B466" t="s">
        <v>1979</v>
      </c>
      <c r="C466" t="s">
        <v>551</v>
      </c>
      <c r="D466" t="s">
        <v>552</v>
      </c>
      <c r="E466" t="s">
        <v>553</v>
      </c>
      <c r="F466">
        <v>100</v>
      </c>
      <c r="G466" t="s">
        <v>2408</v>
      </c>
      <c r="H466" t="s">
        <v>1789</v>
      </c>
      <c r="I466" t="s">
        <v>1973</v>
      </c>
      <c r="J466" t="s">
        <v>2247</v>
      </c>
    </row>
    <row r="467" spans="2:10" x14ac:dyDescent="0.25">
      <c r="B467" t="s">
        <v>1979</v>
      </c>
      <c r="C467" t="s">
        <v>25</v>
      </c>
      <c r="D467" t="s">
        <v>470</v>
      </c>
      <c r="E467" t="s">
        <v>471</v>
      </c>
      <c r="F467">
        <v>72</v>
      </c>
      <c r="G467" t="s">
        <v>2408</v>
      </c>
      <c r="H467" t="s">
        <v>1789</v>
      </c>
      <c r="I467" t="s">
        <v>1973</v>
      </c>
      <c r="J467" t="s">
        <v>2247</v>
      </c>
    </row>
    <row r="468" spans="2:10" x14ac:dyDescent="0.25">
      <c r="B468" t="s">
        <v>1979</v>
      </c>
      <c r="C468" t="s">
        <v>52</v>
      </c>
      <c r="D468" t="s">
        <v>722</v>
      </c>
      <c r="E468" t="s">
        <v>723</v>
      </c>
      <c r="F468">
        <v>120</v>
      </c>
      <c r="G468" t="s">
        <v>2410</v>
      </c>
      <c r="H468" t="s">
        <v>1752</v>
      </c>
      <c r="I468" t="s">
        <v>1973</v>
      </c>
      <c r="J468" t="s">
        <v>2247</v>
      </c>
    </row>
    <row r="469" spans="2:10" x14ac:dyDescent="0.25">
      <c r="B469" t="s">
        <v>1979</v>
      </c>
      <c r="C469" t="s">
        <v>52</v>
      </c>
      <c r="D469" t="s">
        <v>578</v>
      </c>
      <c r="E469" t="s">
        <v>579</v>
      </c>
      <c r="F469">
        <v>200</v>
      </c>
      <c r="G469" t="s">
        <v>2410</v>
      </c>
      <c r="H469" t="s">
        <v>1752</v>
      </c>
      <c r="I469" t="s">
        <v>1973</v>
      </c>
      <c r="J469" t="s">
        <v>2247</v>
      </c>
    </row>
    <row r="470" spans="2:10" x14ac:dyDescent="0.25">
      <c r="B470" t="s">
        <v>1979</v>
      </c>
      <c r="C470" t="s">
        <v>52</v>
      </c>
      <c r="D470" t="s">
        <v>578</v>
      </c>
      <c r="E470" t="s">
        <v>579</v>
      </c>
      <c r="F470">
        <v>40</v>
      </c>
      <c r="G470" t="s">
        <v>2410</v>
      </c>
      <c r="H470" t="s">
        <v>1752</v>
      </c>
      <c r="I470" t="s">
        <v>1973</v>
      </c>
      <c r="J470" t="s">
        <v>2247</v>
      </c>
    </row>
    <row r="471" spans="2:10" x14ac:dyDescent="0.25">
      <c r="B471" t="s">
        <v>1979</v>
      </c>
      <c r="C471" t="s">
        <v>83</v>
      </c>
      <c r="D471" t="s">
        <v>991</v>
      </c>
      <c r="E471" t="s">
        <v>992</v>
      </c>
      <c r="F471">
        <v>60</v>
      </c>
      <c r="G471" t="s">
        <v>2410</v>
      </c>
      <c r="H471" t="s">
        <v>1752</v>
      </c>
      <c r="I471" t="s">
        <v>1973</v>
      </c>
      <c r="J471" t="s">
        <v>2247</v>
      </c>
    </row>
    <row r="472" spans="2:10" x14ac:dyDescent="0.25">
      <c r="B472" t="s">
        <v>1979</v>
      </c>
      <c r="C472" t="s">
        <v>352</v>
      </c>
      <c r="D472" t="s">
        <v>1320</v>
      </c>
      <c r="E472" t="s">
        <v>1321</v>
      </c>
      <c r="F472">
        <v>100</v>
      </c>
      <c r="G472" t="s">
        <v>2410</v>
      </c>
      <c r="H472" t="s">
        <v>1752</v>
      </c>
      <c r="I472" t="s">
        <v>1973</v>
      </c>
      <c r="J472" t="s">
        <v>2247</v>
      </c>
    </row>
    <row r="473" spans="2:10" x14ac:dyDescent="0.25">
      <c r="B473" t="s">
        <v>1979</v>
      </c>
      <c r="C473" t="s">
        <v>352</v>
      </c>
      <c r="D473" t="s">
        <v>1320</v>
      </c>
      <c r="E473" t="s">
        <v>1321</v>
      </c>
      <c r="F473">
        <v>10</v>
      </c>
      <c r="G473" t="s">
        <v>2411</v>
      </c>
      <c r="H473" t="s">
        <v>1643</v>
      </c>
      <c r="I473" t="s">
        <v>2329</v>
      </c>
      <c r="J473" t="s">
        <v>2247</v>
      </c>
    </row>
    <row r="474" spans="2:10" x14ac:dyDescent="0.25">
      <c r="B474" t="s">
        <v>1979</v>
      </c>
      <c r="C474" t="s">
        <v>352</v>
      </c>
      <c r="D474" t="s">
        <v>1320</v>
      </c>
      <c r="E474" t="s">
        <v>1321</v>
      </c>
      <c r="F474">
        <v>190</v>
      </c>
      <c r="G474" t="s">
        <v>2411</v>
      </c>
      <c r="H474" t="s">
        <v>1643</v>
      </c>
      <c r="I474" t="s">
        <v>2329</v>
      </c>
      <c r="J474" t="s">
        <v>2247</v>
      </c>
    </row>
    <row r="475" spans="2:10" x14ac:dyDescent="0.25">
      <c r="B475" t="s">
        <v>1979</v>
      </c>
      <c r="C475" t="s">
        <v>352</v>
      </c>
      <c r="D475" t="s">
        <v>1320</v>
      </c>
      <c r="E475" t="s">
        <v>1321</v>
      </c>
      <c r="F475">
        <v>400</v>
      </c>
      <c r="G475" t="s">
        <v>2413</v>
      </c>
      <c r="H475" t="s">
        <v>1691</v>
      </c>
      <c r="I475" t="s">
        <v>2329</v>
      </c>
      <c r="J475" t="s">
        <v>2247</v>
      </c>
    </row>
    <row r="476" spans="2:10" x14ac:dyDescent="0.25">
      <c r="B476" t="s">
        <v>1979</v>
      </c>
      <c r="C476" t="s">
        <v>64</v>
      </c>
      <c r="D476" t="s">
        <v>856</v>
      </c>
      <c r="E476" t="s">
        <v>857</v>
      </c>
      <c r="F476">
        <v>60</v>
      </c>
      <c r="G476" t="s">
        <v>2412</v>
      </c>
      <c r="H476" t="s">
        <v>1614</v>
      </c>
      <c r="I476" t="s">
        <v>2329</v>
      </c>
      <c r="J476" t="s">
        <v>2247</v>
      </c>
    </row>
    <row r="477" spans="2:10" x14ac:dyDescent="0.25">
      <c r="B477" t="s">
        <v>1979</v>
      </c>
      <c r="C477" t="s">
        <v>64</v>
      </c>
      <c r="D477" t="s">
        <v>1053</v>
      </c>
      <c r="E477" t="s">
        <v>1054</v>
      </c>
      <c r="F477">
        <v>12</v>
      </c>
      <c r="G477" t="s">
        <v>2412</v>
      </c>
      <c r="H477" t="s">
        <v>1614</v>
      </c>
      <c r="I477" t="s">
        <v>2329</v>
      </c>
      <c r="J477" t="s">
        <v>2247</v>
      </c>
    </row>
    <row r="478" spans="2:10" x14ac:dyDescent="0.25">
      <c r="B478" t="s">
        <v>1979</v>
      </c>
      <c r="C478" t="s">
        <v>623</v>
      </c>
      <c r="D478" t="s">
        <v>813</v>
      </c>
      <c r="E478" t="s">
        <v>814</v>
      </c>
      <c r="F478">
        <v>78</v>
      </c>
      <c r="G478" t="s">
        <v>2411</v>
      </c>
      <c r="H478" t="s">
        <v>1643</v>
      </c>
      <c r="I478" t="s">
        <v>2329</v>
      </c>
      <c r="J478" t="s">
        <v>2247</v>
      </c>
    </row>
    <row r="479" spans="2:10" x14ac:dyDescent="0.25">
      <c r="B479" t="s">
        <v>1979</v>
      </c>
      <c r="C479" t="s">
        <v>623</v>
      </c>
      <c r="D479" t="s">
        <v>813</v>
      </c>
      <c r="E479" t="s">
        <v>814</v>
      </c>
      <c r="F479">
        <v>126</v>
      </c>
      <c r="G479" t="s">
        <v>2411</v>
      </c>
      <c r="H479" t="s">
        <v>1643</v>
      </c>
      <c r="I479" t="s">
        <v>2329</v>
      </c>
      <c r="J479" t="s">
        <v>2247</v>
      </c>
    </row>
    <row r="480" spans="2:10" x14ac:dyDescent="0.25">
      <c r="B480" t="s">
        <v>1979</v>
      </c>
      <c r="C480" t="s">
        <v>11</v>
      </c>
      <c r="D480" t="s">
        <v>1326</v>
      </c>
      <c r="E480" t="s">
        <v>1327</v>
      </c>
      <c r="F480">
        <v>200</v>
      </c>
      <c r="G480" t="s">
        <v>2412</v>
      </c>
      <c r="H480" t="s">
        <v>1614</v>
      </c>
      <c r="I480" t="s">
        <v>2329</v>
      </c>
      <c r="J480" t="s">
        <v>2247</v>
      </c>
    </row>
    <row r="481" spans="2:10" x14ac:dyDescent="0.25">
      <c r="B481" t="s">
        <v>1979</v>
      </c>
      <c r="C481" t="s">
        <v>145</v>
      </c>
      <c r="D481" t="s">
        <v>146</v>
      </c>
      <c r="E481" t="s">
        <v>147</v>
      </c>
      <c r="F481">
        <v>300</v>
      </c>
      <c r="G481" t="s">
        <v>2413</v>
      </c>
      <c r="H481" t="s">
        <v>1691</v>
      </c>
      <c r="I481" t="s">
        <v>2329</v>
      </c>
      <c r="J481" t="s">
        <v>2247</v>
      </c>
    </row>
    <row r="482" spans="2:10" x14ac:dyDescent="0.25">
      <c r="B482" t="s">
        <v>1979</v>
      </c>
      <c r="C482" t="s">
        <v>145</v>
      </c>
      <c r="D482" t="s">
        <v>146</v>
      </c>
      <c r="E482" t="s">
        <v>147</v>
      </c>
      <c r="F482">
        <v>100</v>
      </c>
      <c r="G482" t="s">
        <v>2413</v>
      </c>
      <c r="H482" t="s">
        <v>1691</v>
      </c>
      <c r="I482" t="s">
        <v>2329</v>
      </c>
      <c r="J482" t="s">
        <v>2247</v>
      </c>
    </row>
    <row r="483" spans="2:10" x14ac:dyDescent="0.25">
      <c r="B483" t="s">
        <v>1979</v>
      </c>
      <c r="C483" t="s">
        <v>145</v>
      </c>
      <c r="D483" t="s">
        <v>146</v>
      </c>
      <c r="E483" t="s">
        <v>147</v>
      </c>
      <c r="F483">
        <v>400</v>
      </c>
      <c r="G483" t="s">
        <v>2412</v>
      </c>
      <c r="H483" t="s">
        <v>1614</v>
      </c>
      <c r="I483" t="s">
        <v>2329</v>
      </c>
      <c r="J483" t="s">
        <v>2247</v>
      </c>
    </row>
    <row r="484" spans="2:10" x14ac:dyDescent="0.25">
      <c r="B484" t="s">
        <v>1979</v>
      </c>
      <c r="C484" t="s">
        <v>145</v>
      </c>
      <c r="D484" t="s">
        <v>225</v>
      </c>
      <c r="E484" t="s">
        <v>226</v>
      </c>
      <c r="F484">
        <v>200</v>
      </c>
      <c r="G484" t="s">
        <v>2413</v>
      </c>
      <c r="H484" t="s">
        <v>1691</v>
      </c>
      <c r="I484" t="s">
        <v>2329</v>
      </c>
      <c r="J484" t="s">
        <v>2247</v>
      </c>
    </row>
    <row r="485" spans="2:10" x14ac:dyDescent="0.25">
      <c r="B485" t="s">
        <v>1979</v>
      </c>
      <c r="C485" t="s">
        <v>145</v>
      </c>
      <c r="D485" t="s">
        <v>225</v>
      </c>
      <c r="E485" t="s">
        <v>226</v>
      </c>
      <c r="F485">
        <v>155</v>
      </c>
      <c r="G485" t="s">
        <v>2412</v>
      </c>
      <c r="H485" t="s">
        <v>1614</v>
      </c>
      <c r="I485" t="s">
        <v>2329</v>
      </c>
      <c r="J485" t="s">
        <v>2247</v>
      </c>
    </row>
    <row r="486" spans="2:10" x14ac:dyDescent="0.25">
      <c r="B486" t="s">
        <v>1979</v>
      </c>
      <c r="C486" t="s">
        <v>145</v>
      </c>
      <c r="D486" t="s">
        <v>225</v>
      </c>
      <c r="E486" t="s">
        <v>226</v>
      </c>
      <c r="F486">
        <v>45</v>
      </c>
      <c r="G486" t="s">
        <v>2412</v>
      </c>
      <c r="H486" t="s">
        <v>1614</v>
      </c>
      <c r="I486" t="s">
        <v>2329</v>
      </c>
      <c r="J486" t="s">
        <v>2247</v>
      </c>
    </row>
    <row r="487" spans="2:10" x14ac:dyDescent="0.25">
      <c r="B487" t="s">
        <v>1979</v>
      </c>
      <c r="C487" t="s">
        <v>623</v>
      </c>
      <c r="D487" t="s">
        <v>925</v>
      </c>
      <c r="E487" t="s">
        <v>926</v>
      </c>
      <c r="F487">
        <v>40</v>
      </c>
      <c r="G487" t="s">
        <v>2411</v>
      </c>
      <c r="H487" t="s">
        <v>1643</v>
      </c>
      <c r="I487" t="s">
        <v>2329</v>
      </c>
      <c r="J487" t="s">
        <v>2247</v>
      </c>
    </row>
    <row r="488" spans="2:10" x14ac:dyDescent="0.25">
      <c r="B488" t="s">
        <v>1979</v>
      </c>
      <c r="C488" t="s">
        <v>623</v>
      </c>
      <c r="D488" t="s">
        <v>925</v>
      </c>
      <c r="E488" t="s">
        <v>926</v>
      </c>
      <c r="F488">
        <v>110</v>
      </c>
      <c r="G488" t="s">
        <v>2411</v>
      </c>
      <c r="H488" t="s">
        <v>1643</v>
      </c>
      <c r="I488" t="s">
        <v>2329</v>
      </c>
      <c r="J488" t="s">
        <v>2247</v>
      </c>
    </row>
    <row r="489" spans="2:10" x14ac:dyDescent="0.25">
      <c r="B489" t="s">
        <v>1979</v>
      </c>
      <c r="C489" t="s">
        <v>623</v>
      </c>
      <c r="D489" t="s">
        <v>925</v>
      </c>
      <c r="E489" t="s">
        <v>926</v>
      </c>
      <c r="F489">
        <v>50</v>
      </c>
      <c r="G489" t="s">
        <v>2411</v>
      </c>
      <c r="H489" t="s">
        <v>1643</v>
      </c>
      <c r="I489" t="s">
        <v>2329</v>
      </c>
      <c r="J489" t="s">
        <v>2247</v>
      </c>
    </row>
    <row r="490" spans="2:10" x14ac:dyDescent="0.25">
      <c r="B490" t="s">
        <v>1979</v>
      </c>
      <c r="C490" t="s">
        <v>623</v>
      </c>
      <c r="D490" t="s">
        <v>871</v>
      </c>
      <c r="E490" t="s">
        <v>872</v>
      </c>
      <c r="F490">
        <v>200</v>
      </c>
      <c r="G490" t="s">
        <v>2411</v>
      </c>
      <c r="H490" t="s">
        <v>1643</v>
      </c>
      <c r="I490" t="s">
        <v>2329</v>
      </c>
      <c r="J490" t="s">
        <v>2247</v>
      </c>
    </row>
    <row r="491" spans="2:10" x14ac:dyDescent="0.25">
      <c r="B491" t="s">
        <v>1979</v>
      </c>
      <c r="C491" t="s">
        <v>623</v>
      </c>
      <c r="D491" t="s">
        <v>871</v>
      </c>
      <c r="E491" t="s">
        <v>872</v>
      </c>
      <c r="F491">
        <v>80</v>
      </c>
      <c r="G491" t="s">
        <v>2413</v>
      </c>
      <c r="H491" t="s">
        <v>1691</v>
      </c>
      <c r="I491" t="s">
        <v>2329</v>
      </c>
      <c r="J491" t="s">
        <v>2247</v>
      </c>
    </row>
    <row r="492" spans="2:10" x14ac:dyDescent="0.25">
      <c r="B492" t="s">
        <v>1979</v>
      </c>
      <c r="C492" t="s">
        <v>623</v>
      </c>
      <c r="D492" t="s">
        <v>871</v>
      </c>
      <c r="E492" t="s">
        <v>872</v>
      </c>
      <c r="F492">
        <v>120</v>
      </c>
      <c r="G492" t="s">
        <v>2413</v>
      </c>
      <c r="H492" t="s">
        <v>1691</v>
      </c>
      <c r="I492" t="s">
        <v>2329</v>
      </c>
      <c r="J492" t="s">
        <v>2247</v>
      </c>
    </row>
    <row r="493" spans="2:10" x14ac:dyDescent="0.25">
      <c r="B493" t="s">
        <v>1979</v>
      </c>
      <c r="C493" t="s">
        <v>52</v>
      </c>
      <c r="D493" t="s">
        <v>592</v>
      </c>
      <c r="E493" t="s">
        <v>593</v>
      </c>
      <c r="F493">
        <v>24</v>
      </c>
      <c r="G493" t="s">
        <v>2413</v>
      </c>
      <c r="H493" t="s">
        <v>1691</v>
      </c>
      <c r="I493" t="s">
        <v>2329</v>
      </c>
      <c r="J493" t="s">
        <v>2247</v>
      </c>
    </row>
    <row r="494" spans="2:10" x14ac:dyDescent="0.25">
      <c r="B494" t="s">
        <v>1979</v>
      </c>
      <c r="C494" t="s">
        <v>25</v>
      </c>
      <c r="D494" t="s">
        <v>470</v>
      </c>
      <c r="E494" t="s">
        <v>471</v>
      </c>
      <c r="F494">
        <v>60</v>
      </c>
      <c r="G494" t="s">
        <v>2411</v>
      </c>
      <c r="H494" t="s">
        <v>1643</v>
      </c>
      <c r="I494" t="s">
        <v>2329</v>
      </c>
      <c r="J494" t="s">
        <v>2247</v>
      </c>
    </row>
    <row r="495" spans="2:10" x14ac:dyDescent="0.25">
      <c r="B495" t="s">
        <v>1979</v>
      </c>
      <c r="C495" t="s">
        <v>705</v>
      </c>
      <c r="D495" t="s">
        <v>1117</v>
      </c>
      <c r="E495" t="s">
        <v>1118</v>
      </c>
      <c r="F495">
        <v>85</v>
      </c>
      <c r="G495" t="s">
        <v>2412</v>
      </c>
      <c r="H495" t="s">
        <v>1614</v>
      </c>
      <c r="I495" t="s">
        <v>2329</v>
      </c>
      <c r="J495" t="s">
        <v>2247</v>
      </c>
    </row>
    <row r="496" spans="2:10" x14ac:dyDescent="0.25">
      <c r="B496" t="s">
        <v>1979</v>
      </c>
      <c r="C496" t="s">
        <v>705</v>
      </c>
      <c r="D496" t="s">
        <v>1117</v>
      </c>
      <c r="E496" t="s">
        <v>1118</v>
      </c>
      <c r="F496">
        <v>20</v>
      </c>
      <c r="G496" t="s">
        <v>2412</v>
      </c>
      <c r="H496" t="s">
        <v>1614</v>
      </c>
      <c r="I496" t="s">
        <v>2329</v>
      </c>
      <c r="J496" t="s">
        <v>2247</v>
      </c>
    </row>
    <row r="497" spans="2:10" x14ac:dyDescent="0.25">
      <c r="B497" t="s">
        <v>1979</v>
      </c>
      <c r="C497" t="s">
        <v>705</v>
      </c>
      <c r="D497" t="s">
        <v>1117</v>
      </c>
      <c r="E497" t="s">
        <v>1118</v>
      </c>
      <c r="F497">
        <v>95</v>
      </c>
      <c r="G497" t="s">
        <v>2412</v>
      </c>
      <c r="H497" t="s">
        <v>1614</v>
      </c>
      <c r="I497" t="s">
        <v>2329</v>
      </c>
      <c r="J497" t="s">
        <v>2247</v>
      </c>
    </row>
    <row r="498" spans="2:10" x14ac:dyDescent="0.25">
      <c r="B498" t="s">
        <v>1979</v>
      </c>
      <c r="C498" t="s">
        <v>705</v>
      </c>
      <c r="D498" t="s">
        <v>706</v>
      </c>
      <c r="E498" t="s">
        <v>707</v>
      </c>
      <c r="F498">
        <v>200</v>
      </c>
      <c r="G498" t="s">
        <v>2412</v>
      </c>
      <c r="H498" t="s">
        <v>1614</v>
      </c>
      <c r="I498" t="s">
        <v>2329</v>
      </c>
      <c r="J498" t="s">
        <v>2247</v>
      </c>
    </row>
    <row r="499" spans="2:10" x14ac:dyDescent="0.25">
      <c r="B499" t="s">
        <v>1979</v>
      </c>
      <c r="C499" t="s">
        <v>20</v>
      </c>
      <c r="D499" t="s">
        <v>1003</v>
      </c>
      <c r="E499" t="s">
        <v>1004</v>
      </c>
      <c r="F499">
        <v>200</v>
      </c>
      <c r="G499" t="s">
        <v>2411</v>
      </c>
      <c r="H499" t="s">
        <v>1643</v>
      </c>
      <c r="I499" t="s">
        <v>2329</v>
      </c>
      <c r="J499" t="s">
        <v>2247</v>
      </c>
    </row>
    <row r="500" spans="2:10" x14ac:dyDescent="0.25">
      <c r="B500" t="s">
        <v>1979</v>
      </c>
      <c r="C500" t="s">
        <v>20</v>
      </c>
      <c r="D500" t="s">
        <v>1003</v>
      </c>
      <c r="E500" t="s">
        <v>1004</v>
      </c>
      <c r="F500">
        <v>200</v>
      </c>
      <c r="G500" t="s">
        <v>2414</v>
      </c>
      <c r="H500" t="s">
        <v>1614</v>
      </c>
      <c r="I500" t="s">
        <v>2329</v>
      </c>
      <c r="J500" t="s">
        <v>2247</v>
      </c>
    </row>
    <row r="501" spans="2:10" x14ac:dyDescent="0.25">
      <c r="B501" t="s">
        <v>1979</v>
      </c>
      <c r="C501" t="s">
        <v>20</v>
      </c>
      <c r="D501" t="s">
        <v>459</v>
      </c>
      <c r="E501" t="s">
        <v>460</v>
      </c>
      <c r="F501">
        <v>400</v>
      </c>
      <c r="G501" t="s">
        <v>2414</v>
      </c>
      <c r="H501" t="s">
        <v>1614</v>
      </c>
      <c r="I501" t="s">
        <v>2329</v>
      </c>
      <c r="J501" t="s">
        <v>2247</v>
      </c>
    </row>
    <row r="502" spans="2:10" x14ac:dyDescent="0.25">
      <c r="B502" t="s">
        <v>1979</v>
      </c>
      <c r="C502" t="s">
        <v>20</v>
      </c>
      <c r="D502" t="s">
        <v>459</v>
      </c>
      <c r="E502" t="s">
        <v>460</v>
      </c>
      <c r="F502">
        <v>200</v>
      </c>
      <c r="G502" t="s">
        <v>2411</v>
      </c>
      <c r="H502" t="s">
        <v>1643</v>
      </c>
      <c r="I502" t="s">
        <v>2329</v>
      </c>
      <c r="J502" t="s">
        <v>2247</v>
      </c>
    </row>
    <row r="503" spans="2:10" x14ac:dyDescent="0.25">
      <c r="B503" t="s">
        <v>1979</v>
      </c>
      <c r="C503" t="s">
        <v>20</v>
      </c>
      <c r="D503" t="s">
        <v>459</v>
      </c>
      <c r="E503" t="s">
        <v>460</v>
      </c>
      <c r="F503">
        <v>400</v>
      </c>
      <c r="G503" t="s">
        <v>2413</v>
      </c>
      <c r="H503" t="s">
        <v>1691</v>
      </c>
      <c r="I503" t="s">
        <v>2329</v>
      </c>
      <c r="J503" t="s">
        <v>2247</v>
      </c>
    </row>
    <row r="504" spans="2:10" x14ac:dyDescent="0.25">
      <c r="B504" t="s">
        <v>1979</v>
      </c>
      <c r="C504" t="s">
        <v>20</v>
      </c>
      <c r="D504" t="s">
        <v>459</v>
      </c>
      <c r="E504" t="s">
        <v>460</v>
      </c>
      <c r="F504">
        <v>1000</v>
      </c>
      <c r="G504" t="s">
        <v>2416</v>
      </c>
      <c r="H504" t="s">
        <v>1629</v>
      </c>
      <c r="I504" t="s">
        <v>2295</v>
      </c>
      <c r="J504" t="s">
        <v>2247</v>
      </c>
    </row>
    <row r="505" spans="2:10" x14ac:dyDescent="0.25">
      <c r="B505" t="s">
        <v>1979</v>
      </c>
      <c r="C505" t="s">
        <v>20</v>
      </c>
      <c r="D505" t="s">
        <v>459</v>
      </c>
      <c r="E505" t="s">
        <v>460</v>
      </c>
      <c r="F505">
        <v>340</v>
      </c>
      <c r="G505" t="s">
        <v>2415</v>
      </c>
      <c r="H505" t="s">
        <v>1694</v>
      </c>
      <c r="I505" t="s">
        <v>2295</v>
      </c>
      <c r="J505" t="s">
        <v>2247</v>
      </c>
    </row>
    <row r="506" spans="2:10" x14ac:dyDescent="0.25">
      <c r="B506" t="s">
        <v>1979</v>
      </c>
      <c r="C506" t="s">
        <v>20</v>
      </c>
      <c r="D506" t="s">
        <v>459</v>
      </c>
      <c r="E506" t="s">
        <v>460</v>
      </c>
      <c r="F506">
        <v>960</v>
      </c>
      <c r="G506" t="s">
        <v>2415</v>
      </c>
      <c r="H506" t="s">
        <v>1694</v>
      </c>
      <c r="I506" t="s">
        <v>2295</v>
      </c>
      <c r="J506" t="s">
        <v>2247</v>
      </c>
    </row>
    <row r="507" spans="2:10" x14ac:dyDescent="0.25">
      <c r="B507" t="s">
        <v>1979</v>
      </c>
      <c r="C507" t="s">
        <v>8</v>
      </c>
      <c r="D507" t="s">
        <v>605</v>
      </c>
      <c r="E507" t="s">
        <v>606</v>
      </c>
      <c r="F507">
        <v>3000</v>
      </c>
      <c r="G507" t="s">
        <v>2418</v>
      </c>
      <c r="H507" t="s">
        <v>1724</v>
      </c>
      <c r="I507" t="s">
        <v>2295</v>
      </c>
      <c r="J507" t="s">
        <v>2247</v>
      </c>
    </row>
    <row r="508" spans="2:10" x14ac:dyDescent="0.25">
      <c r="B508" t="s">
        <v>1979</v>
      </c>
      <c r="C508" t="s">
        <v>8</v>
      </c>
      <c r="D508" t="s">
        <v>605</v>
      </c>
      <c r="E508" t="s">
        <v>606</v>
      </c>
      <c r="F508">
        <v>220</v>
      </c>
      <c r="G508" t="s">
        <v>2417</v>
      </c>
      <c r="H508" t="s">
        <v>1803</v>
      </c>
      <c r="I508" t="s">
        <v>2295</v>
      </c>
      <c r="J508" t="s">
        <v>2247</v>
      </c>
    </row>
    <row r="509" spans="2:10" x14ac:dyDescent="0.25">
      <c r="B509" t="s">
        <v>1979</v>
      </c>
      <c r="C509" t="s">
        <v>8</v>
      </c>
      <c r="D509" t="s">
        <v>605</v>
      </c>
      <c r="E509" t="s">
        <v>606</v>
      </c>
      <c r="F509">
        <v>280</v>
      </c>
      <c r="G509" t="s">
        <v>2417</v>
      </c>
      <c r="H509" t="s">
        <v>1803</v>
      </c>
      <c r="I509" t="s">
        <v>2295</v>
      </c>
      <c r="J509" t="s">
        <v>2247</v>
      </c>
    </row>
    <row r="510" spans="2:10" x14ac:dyDescent="0.25">
      <c r="B510" t="s">
        <v>1979</v>
      </c>
      <c r="C510" t="s">
        <v>40</v>
      </c>
      <c r="D510" t="s">
        <v>41</v>
      </c>
      <c r="E510" t="s">
        <v>42</v>
      </c>
      <c r="F510">
        <v>120</v>
      </c>
      <c r="G510" t="s">
        <v>2418</v>
      </c>
      <c r="H510" t="s">
        <v>1724</v>
      </c>
      <c r="I510" t="s">
        <v>2295</v>
      </c>
      <c r="J510" t="s">
        <v>2247</v>
      </c>
    </row>
    <row r="511" spans="2:10" x14ac:dyDescent="0.25">
      <c r="B511" t="s">
        <v>1979</v>
      </c>
      <c r="C511" t="s">
        <v>25</v>
      </c>
      <c r="D511" t="s">
        <v>470</v>
      </c>
      <c r="E511" t="s">
        <v>471</v>
      </c>
      <c r="F511">
        <v>200</v>
      </c>
      <c r="G511" t="s">
        <v>2415</v>
      </c>
      <c r="H511" t="s">
        <v>1694</v>
      </c>
      <c r="I511" t="s">
        <v>2295</v>
      </c>
      <c r="J511" t="s">
        <v>2247</v>
      </c>
    </row>
    <row r="512" spans="2:10" x14ac:dyDescent="0.25">
      <c r="B512" t="s">
        <v>1979</v>
      </c>
      <c r="C512" t="s">
        <v>25</v>
      </c>
      <c r="D512" t="s">
        <v>470</v>
      </c>
      <c r="E512" t="s">
        <v>471</v>
      </c>
      <c r="F512">
        <v>204</v>
      </c>
      <c r="G512" t="s">
        <v>2417</v>
      </c>
      <c r="H512" t="s">
        <v>1803</v>
      </c>
      <c r="I512" t="s">
        <v>2295</v>
      </c>
      <c r="J512" t="s">
        <v>2247</v>
      </c>
    </row>
    <row r="513" spans="2:10" x14ac:dyDescent="0.25">
      <c r="B513" t="s">
        <v>1979</v>
      </c>
      <c r="C513" t="s">
        <v>145</v>
      </c>
      <c r="D513" t="s">
        <v>146</v>
      </c>
      <c r="E513" t="s">
        <v>147</v>
      </c>
      <c r="F513">
        <v>3000</v>
      </c>
      <c r="G513" t="s">
        <v>2419</v>
      </c>
      <c r="H513" t="s">
        <v>1629</v>
      </c>
      <c r="I513" t="s">
        <v>2295</v>
      </c>
      <c r="J513" t="s">
        <v>2247</v>
      </c>
    </row>
    <row r="514" spans="2:10" x14ac:dyDescent="0.25">
      <c r="B514" t="s">
        <v>1979</v>
      </c>
      <c r="C514" t="s">
        <v>61</v>
      </c>
      <c r="D514" t="s">
        <v>231</v>
      </c>
      <c r="E514" t="s">
        <v>232</v>
      </c>
      <c r="F514">
        <v>100</v>
      </c>
      <c r="G514" t="s">
        <v>2417</v>
      </c>
      <c r="H514" t="s">
        <v>1803</v>
      </c>
      <c r="I514" t="s">
        <v>2295</v>
      </c>
      <c r="J514" t="s">
        <v>2247</v>
      </c>
    </row>
    <row r="515" spans="2:10" x14ac:dyDescent="0.25">
      <c r="B515" t="s">
        <v>1979</v>
      </c>
      <c r="C515" t="s">
        <v>61</v>
      </c>
      <c r="D515" t="s">
        <v>231</v>
      </c>
      <c r="E515" t="s">
        <v>232</v>
      </c>
      <c r="F515">
        <v>360</v>
      </c>
      <c r="G515" t="s">
        <v>2417</v>
      </c>
      <c r="H515" t="s">
        <v>1803</v>
      </c>
      <c r="I515" t="s">
        <v>2295</v>
      </c>
      <c r="J515" t="s">
        <v>2247</v>
      </c>
    </row>
    <row r="516" spans="2:10" x14ac:dyDescent="0.25">
      <c r="B516" t="s">
        <v>1979</v>
      </c>
      <c r="C516" t="s">
        <v>61</v>
      </c>
      <c r="D516" t="s">
        <v>231</v>
      </c>
      <c r="E516" t="s">
        <v>232</v>
      </c>
      <c r="F516">
        <v>1340</v>
      </c>
      <c r="G516" t="s">
        <v>2417</v>
      </c>
      <c r="H516" t="s">
        <v>1803</v>
      </c>
      <c r="I516" t="s">
        <v>2295</v>
      </c>
      <c r="J516" t="s">
        <v>2247</v>
      </c>
    </row>
    <row r="517" spans="2:10" x14ac:dyDescent="0.25">
      <c r="B517" t="s">
        <v>1979</v>
      </c>
      <c r="C517" t="s">
        <v>11</v>
      </c>
      <c r="D517" t="s">
        <v>1326</v>
      </c>
      <c r="E517" t="s">
        <v>1327</v>
      </c>
      <c r="F517">
        <v>640</v>
      </c>
      <c r="G517" t="s">
        <v>2418</v>
      </c>
      <c r="H517" t="s">
        <v>1724</v>
      </c>
      <c r="I517" t="s">
        <v>2295</v>
      </c>
      <c r="J517" t="s">
        <v>2247</v>
      </c>
    </row>
    <row r="518" spans="2:10" x14ac:dyDescent="0.25">
      <c r="B518" t="s">
        <v>1979</v>
      </c>
      <c r="C518" t="s">
        <v>11</v>
      </c>
      <c r="D518" t="s">
        <v>1326</v>
      </c>
      <c r="E518" t="s">
        <v>1327</v>
      </c>
      <c r="F518">
        <v>2360</v>
      </c>
      <c r="G518" t="s">
        <v>2418</v>
      </c>
      <c r="H518" t="s">
        <v>1724</v>
      </c>
      <c r="I518" t="s">
        <v>2295</v>
      </c>
      <c r="J518" t="s">
        <v>2247</v>
      </c>
    </row>
    <row r="519" spans="2:10" x14ac:dyDescent="0.25">
      <c r="B519" t="s">
        <v>1979</v>
      </c>
      <c r="C519" t="s">
        <v>11</v>
      </c>
      <c r="D519" t="s">
        <v>1326</v>
      </c>
      <c r="E519" t="s">
        <v>1327</v>
      </c>
      <c r="F519">
        <v>2000</v>
      </c>
      <c r="G519" t="s">
        <v>2416</v>
      </c>
      <c r="H519" t="s">
        <v>1629</v>
      </c>
      <c r="I519" t="s">
        <v>2295</v>
      </c>
      <c r="J519" t="s">
        <v>2247</v>
      </c>
    </row>
    <row r="520" spans="2:10" x14ac:dyDescent="0.25">
      <c r="B520" t="s">
        <v>1979</v>
      </c>
      <c r="C520" t="s">
        <v>120</v>
      </c>
      <c r="D520" t="s">
        <v>540</v>
      </c>
      <c r="E520" t="s">
        <v>541</v>
      </c>
      <c r="F520">
        <v>1000</v>
      </c>
      <c r="G520" t="s">
        <v>2415</v>
      </c>
      <c r="H520" t="s">
        <v>1694</v>
      </c>
      <c r="I520" t="s">
        <v>2295</v>
      </c>
      <c r="J520" t="s">
        <v>2247</v>
      </c>
    </row>
    <row r="521" spans="2:10" x14ac:dyDescent="0.25">
      <c r="B521" t="s">
        <v>1979</v>
      </c>
      <c r="C521" t="s">
        <v>120</v>
      </c>
      <c r="D521" t="s">
        <v>540</v>
      </c>
      <c r="E521" t="s">
        <v>541</v>
      </c>
      <c r="F521">
        <v>1520</v>
      </c>
      <c r="G521" t="s">
        <v>2418</v>
      </c>
      <c r="H521" t="s">
        <v>1724</v>
      </c>
      <c r="I521" t="s">
        <v>2295</v>
      </c>
      <c r="J521" t="s">
        <v>2247</v>
      </c>
    </row>
    <row r="522" spans="2:10" x14ac:dyDescent="0.25">
      <c r="B522" t="s">
        <v>1979</v>
      </c>
      <c r="C522" t="s">
        <v>120</v>
      </c>
      <c r="D522" t="s">
        <v>540</v>
      </c>
      <c r="E522" t="s">
        <v>541</v>
      </c>
      <c r="F522">
        <v>860</v>
      </c>
      <c r="G522" t="s">
        <v>2418</v>
      </c>
      <c r="H522" t="s">
        <v>1724</v>
      </c>
      <c r="I522" t="s">
        <v>2295</v>
      </c>
      <c r="J522" t="s">
        <v>2247</v>
      </c>
    </row>
    <row r="523" spans="2:10" x14ac:dyDescent="0.25">
      <c r="B523" t="s">
        <v>1979</v>
      </c>
      <c r="C523" t="s">
        <v>585</v>
      </c>
      <c r="D523" t="s">
        <v>586</v>
      </c>
      <c r="E523" t="s">
        <v>587</v>
      </c>
      <c r="F523">
        <v>2000</v>
      </c>
      <c r="G523" t="s">
        <v>2419</v>
      </c>
      <c r="H523" t="s">
        <v>1629</v>
      </c>
      <c r="I523" t="s">
        <v>2295</v>
      </c>
      <c r="J523" t="s">
        <v>2247</v>
      </c>
    </row>
    <row r="524" spans="2:10" x14ac:dyDescent="0.25">
      <c r="B524" t="s">
        <v>1979</v>
      </c>
      <c r="C524" t="s">
        <v>715</v>
      </c>
      <c r="D524" t="s">
        <v>716</v>
      </c>
      <c r="E524" t="s">
        <v>717</v>
      </c>
      <c r="F524">
        <v>840</v>
      </c>
      <c r="G524" t="s">
        <v>2420</v>
      </c>
      <c r="H524" t="s">
        <v>1649</v>
      </c>
      <c r="I524" t="s">
        <v>2367</v>
      </c>
      <c r="J524" t="s">
        <v>2247</v>
      </c>
    </row>
    <row r="525" spans="2:10" x14ac:dyDescent="0.25">
      <c r="B525" t="s">
        <v>1979</v>
      </c>
      <c r="C525" t="s">
        <v>145</v>
      </c>
      <c r="D525" t="s">
        <v>146</v>
      </c>
      <c r="E525" t="s">
        <v>147</v>
      </c>
      <c r="F525">
        <v>200</v>
      </c>
      <c r="G525" t="s">
        <v>2421</v>
      </c>
      <c r="H525" t="s">
        <v>1614</v>
      </c>
      <c r="I525" t="s">
        <v>2329</v>
      </c>
      <c r="J525" t="s">
        <v>2247</v>
      </c>
    </row>
    <row r="526" spans="2:10" x14ac:dyDescent="0.25">
      <c r="B526" t="s">
        <v>1979</v>
      </c>
      <c r="C526" t="s">
        <v>145</v>
      </c>
      <c r="D526" t="s">
        <v>225</v>
      </c>
      <c r="E526" t="s">
        <v>226</v>
      </c>
      <c r="F526">
        <v>500</v>
      </c>
      <c r="G526" t="s">
        <v>2421</v>
      </c>
      <c r="H526" t="s">
        <v>1614</v>
      </c>
      <c r="I526" t="s">
        <v>2329</v>
      </c>
      <c r="J526" t="s">
        <v>2247</v>
      </c>
    </row>
    <row r="527" spans="2:10" x14ac:dyDescent="0.25">
      <c r="B527" t="s">
        <v>1979</v>
      </c>
      <c r="C527" t="s">
        <v>623</v>
      </c>
      <c r="D527" t="s">
        <v>871</v>
      </c>
      <c r="E527" t="s">
        <v>872</v>
      </c>
      <c r="F527">
        <v>100</v>
      </c>
      <c r="G527" t="s">
        <v>2421</v>
      </c>
      <c r="H527" t="s">
        <v>1614</v>
      </c>
      <c r="I527" t="s">
        <v>2329</v>
      </c>
      <c r="J527" t="s">
        <v>2247</v>
      </c>
    </row>
    <row r="528" spans="2:10" x14ac:dyDescent="0.25">
      <c r="B528" t="s">
        <v>1979</v>
      </c>
      <c r="C528" t="s">
        <v>623</v>
      </c>
      <c r="D528" t="s">
        <v>925</v>
      </c>
      <c r="E528" t="s">
        <v>926</v>
      </c>
      <c r="F528">
        <v>500</v>
      </c>
      <c r="G528" t="s">
        <v>2421</v>
      </c>
      <c r="H528" t="s">
        <v>1614</v>
      </c>
      <c r="I528" t="s">
        <v>2329</v>
      </c>
      <c r="J528" t="s">
        <v>2247</v>
      </c>
    </row>
    <row r="529" spans="2:10" x14ac:dyDescent="0.25">
      <c r="B529" t="s">
        <v>1979</v>
      </c>
      <c r="C529" t="s">
        <v>20</v>
      </c>
      <c r="D529" t="s">
        <v>459</v>
      </c>
      <c r="E529" t="s">
        <v>460</v>
      </c>
      <c r="F529">
        <v>200</v>
      </c>
      <c r="G529" t="s">
        <v>2421</v>
      </c>
      <c r="H529" t="s">
        <v>1614</v>
      </c>
      <c r="I529" t="s">
        <v>2329</v>
      </c>
      <c r="J529" t="s">
        <v>2247</v>
      </c>
    </row>
    <row r="530" spans="2:10" x14ac:dyDescent="0.25">
      <c r="B530" t="s">
        <v>1979</v>
      </c>
      <c r="C530" t="s">
        <v>20</v>
      </c>
      <c r="D530" t="s">
        <v>1003</v>
      </c>
      <c r="E530" t="s">
        <v>1004</v>
      </c>
      <c r="F530">
        <v>400</v>
      </c>
      <c r="G530" t="s">
        <v>2421</v>
      </c>
      <c r="H530" t="s">
        <v>1614</v>
      </c>
      <c r="I530" t="s">
        <v>2329</v>
      </c>
      <c r="J530" t="s">
        <v>2247</v>
      </c>
    </row>
    <row r="531" spans="2:10" x14ac:dyDescent="0.25">
      <c r="B531" t="s">
        <v>1979</v>
      </c>
      <c r="C531" t="s">
        <v>20</v>
      </c>
      <c r="D531" t="s">
        <v>1003</v>
      </c>
      <c r="E531" t="s">
        <v>1004</v>
      </c>
      <c r="F531">
        <v>100</v>
      </c>
      <c r="G531" t="s">
        <v>2421</v>
      </c>
      <c r="H531" t="s">
        <v>1614</v>
      </c>
      <c r="I531" t="s">
        <v>2329</v>
      </c>
      <c r="J531" t="s">
        <v>2247</v>
      </c>
    </row>
    <row r="532" spans="2:10" x14ac:dyDescent="0.25">
      <c r="B532" t="s">
        <v>1979</v>
      </c>
      <c r="C532" t="s">
        <v>25</v>
      </c>
      <c r="D532" t="s">
        <v>470</v>
      </c>
      <c r="E532" t="s">
        <v>471</v>
      </c>
      <c r="F532">
        <v>12</v>
      </c>
      <c r="G532" t="s">
        <v>2423</v>
      </c>
      <c r="H532" t="s">
        <v>1631</v>
      </c>
      <c r="I532" t="s">
        <v>2396</v>
      </c>
      <c r="J532" t="s">
        <v>2247</v>
      </c>
    </row>
    <row r="533" spans="2:10" x14ac:dyDescent="0.25">
      <c r="B533" t="s">
        <v>1979</v>
      </c>
      <c r="C533" t="s">
        <v>80</v>
      </c>
      <c r="D533" t="s">
        <v>572</v>
      </c>
      <c r="E533" t="s">
        <v>573</v>
      </c>
      <c r="F533">
        <v>12</v>
      </c>
      <c r="G533" t="s">
        <v>2423</v>
      </c>
      <c r="H533" t="s">
        <v>1631</v>
      </c>
      <c r="I533" t="s">
        <v>2396</v>
      </c>
      <c r="J533" t="s">
        <v>2247</v>
      </c>
    </row>
    <row r="534" spans="2:10" x14ac:dyDescent="0.25">
      <c r="B534" t="s">
        <v>1979</v>
      </c>
      <c r="C534" t="s">
        <v>623</v>
      </c>
      <c r="D534" t="s">
        <v>925</v>
      </c>
      <c r="E534" t="s">
        <v>926</v>
      </c>
      <c r="F534">
        <v>10</v>
      </c>
      <c r="G534" t="s">
        <v>2423</v>
      </c>
      <c r="H534" t="s">
        <v>1631</v>
      </c>
      <c r="I534" t="s">
        <v>2396</v>
      </c>
      <c r="J534" t="s">
        <v>2247</v>
      </c>
    </row>
    <row r="535" spans="2:10" x14ac:dyDescent="0.25">
      <c r="B535" t="s">
        <v>1979</v>
      </c>
      <c r="C535" t="s">
        <v>623</v>
      </c>
      <c r="D535" t="s">
        <v>925</v>
      </c>
      <c r="E535" t="s">
        <v>926</v>
      </c>
      <c r="F535">
        <v>10</v>
      </c>
      <c r="G535" t="s">
        <v>2423</v>
      </c>
      <c r="H535" t="s">
        <v>1631</v>
      </c>
      <c r="I535" t="s">
        <v>2396</v>
      </c>
      <c r="J535" t="s">
        <v>2247</v>
      </c>
    </row>
    <row r="536" spans="2:10" x14ac:dyDescent="0.25">
      <c r="B536" t="s">
        <v>1979</v>
      </c>
      <c r="C536" t="s">
        <v>8</v>
      </c>
      <c r="D536" t="s">
        <v>171</v>
      </c>
      <c r="E536" t="s">
        <v>172</v>
      </c>
      <c r="F536">
        <v>36</v>
      </c>
      <c r="G536" t="s">
        <v>2422</v>
      </c>
      <c r="H536" t="s">
        <v>1767</v>
      </c>
      <c r="I536" t="s">
        <v>2396</v>
      </c>
      <c r="J536" t="s">
        <v>2247</v>
      </c>
    </row>
    <row r="537" spans="2:10" x14ac:dyDescent="0.25">
      <c r="B537" t="s">
        <v>1979</v>
      </c>
      <c r="C537" t="s">
        <v>145</v>
      </c>
      <c r="D537" t="s">
        <v>225</v>
      </c>
      <c r="E537" t="s">
        <v>226</v>
      </c>
      <c r="F537">
        <v>120</v>
      </c>
      <c r="G537" t="s">
        <v>2422</v>
      </c>
      <c r="H537" t="s">
        <v>1767</v>
      </c>
      <c r="I537" t="s">
        <v>2396</v>
      </c>
      <c r="J537" t="s">
        <v>2247</v>
      </c>
    </row>
    <row r="538" spans="2:10" x14ac:dyDescent="0.25">
      <c r="B538" t="s">
        <v>1979</v>
      </c>
      <c r="C538" t="s">
        <v>145</v>
      </c>
      <c r="D538" t="s">
        <v>225</v>
      </c>
      <c r="E538" t="s">
        <v>226</v>
      </c>
      <c r="F538">
        <v>95</v>
      </c>
      <c r="G538" t="s">
        <v>2423</v>
      </c>
      <c r="H538" t="s">
        <v>1631</v>
      </c>
      <c r="I538" t="s">
        <v>2396</v>
      </c>
      <c r="J538" t="s">
        <v>2247</v>
      </c>
    </row>
    <row r="539" spans="2:10" x14ac:dyDescent="0.25">
      <c r="B539" t="s">
        <v>1979</v>
      </c>
      <c r="C539" t="s">
        <v>145</v>
      </c>
      <c r="D539" t="s">
        <v>225</v>
      </c>
      <c r="E539" t="s">
        <v>226</v>
      </c>
      <c r="F539">
        <v>5</v>
      </c>
      <c r="G539" t="s">
        <v>2423</v>
      </c>
      <c r="H539" t="s">
        <v>1631</v>
      </c>
      <c r="I539" t="s">
        <v>2396</v>
      </c>
      <c r="J539" t="s">
        <v>2247</v>
      </c>
    </row>
    <row r="540" spans="2:10" x14ac:dyDescent="0.25">
      <c r="B540" t="s">
        <v>1979</v>
      </c>
      <c r="C540" t="s">
        <v>145</v>
      </c>
      <c r="D540" t="s">
        <v>974</v>
      </c>
      <c r="E540" t="s">
        <v>975</v>
      </c>
      <c r="F540">
        <v>24</v>
      </c>
      <c r="G540" t="s">
        <v>2422</v>
      </c>
      <c r="H540" t="s">
        <v>1767</v>
      </c>
      <c r="I540" t="s">
        <v>2396</v>
      </c>
      <c r="J540" t="s">
        <v>2247</v>
      </c>
    </row>
    <row r="541" spans="2:10" x14ac:dyDescent="0.25">
      <c r="B541" t="s">
        <v>1979</v>
      </c>
      <c r="C541" t="s">
        <v>11</v>
      </c>
      <c r="D541" t="s">
        <v>1388</v>
      </c>
      <c r="E541" t="s">
        <v>1389</v>
      </c>
      <c r="F541">
        <v>40</v>
      </c>
      <c r="G541" t="s">
        <v>2423</v>
      </c>
      <c r="H541" t="s">
        <v>1631</v>
      </c>
      <c r="I541" t="s">
        <v>2396</v>
      </c>
      <c r="J541" t="s">
        <v>2247</v>
      </c>
    </row>
    <row r="542" spans="2:10" x14ac:dyDescent="0.25">
      <c r="B542" t="s">
        <v>1979</v>
      </c>
      <c r="C542" t="s">
        <v>623</v>
      </c>
      <c r="D542" t="s">
        <v>813</v>
      </c>
      <c r="E542" t="s">
        <v>814</v>
      </c>
      <c r="F542">
        <v>14</v>
      </c>
      <c r="G542" t="s">
        <v>2423</v>
      </c>
      <c r="H542" t="s">
        <v>1631</v>
      </c>
      <c r="I542" t="s">
        <v>2396</v>
      </c>
      <c r="J542" t="s">
        <v>2247</v>
      </c>
    </row>
    <row r="543" spans="2:10" x14ac:dyDescent="0.25">
      <c r="B543" t="s">
        <v>1979</v>
      </c>
      <c r="C543" t="s">
        <v>623</v>
      </c>
      <c r="D543" t="s">
        <v>813</v>
      </c>
      <c r="E543" t="s">
        <v>814</v>
      </c>
      <c r="F543">
        <v>10</v>
      </c>
      <c r="G543" t="s">
        <v>2423</v>
      </c>
      <c r="H543" t="s">
        <v>1631</v>
      </c>
      <c r="I543" t="s">
        <v>2396</v>
      </c>
      <c r="J543" t="s">
        <v>2247</v>
      </c>
    </row>
    <row r="544" spans="2:10" x14ac:dyDescent="0.25">
      <c r="B544" t="s">
        <v>1979</v>
      </c>
      <c r="C544" t="s">
        <v>120</v>
      </c>
      <c r="D544" t="s">
        <v>1014</v>
      </c>
      <c r="E544" t="s">
        <v>1015</v>
      </c>
      <c r="F544">
        <v>36</v>
      </c>
      <c r="G544" t="s">
        <v>2423</v>
      </c>
      <c r="H544" t="s">
        <v>1631</v>
      </c>
      <c r="I544" t="s">
        <v>2396</v>
      </c>
      <c r="J544" t="s">
        <v>2247</v>
      </c>
    </row>
    <row r="545" spans="2:10" x14ac:dyDescent="0.25">
      <c r="B545" t="s">
        <v>1979</v>
      </c>
      <c r="C545" t="s">
        <v>120</v>
      </c>
      <c r="D545" t="s">
        <v>1014</v>
      </c>
      <c r="E545" t="s">
        <v>1015</v>
      </c>
      <c r="F545">
        <v>12</v>
      </c>
      <c r="G545" t="s">
        <v>2423</v>
      </c>
      <c r="H545" t="s">
        <v>1631</v>
      </c>
      <c r="I545" t="s">
        <v>2396</v>
      </c>
      <c r="J545" t="s">
        <v>2247</v>
      </c>
    </row>
    <row r="546" spans="2:10" x14ac:dyDescent="0.25">
      <c r="B546" t="s">
        <v>1979</v>
      </c>
      <c r="C546" t="s">
        <v>120</v>
      </c>
      <c r="D546" t="s">
        <v>1014</v>
      </c>
      <c r="E546" t="s">
        <v>1015</v>
      </c>
      <c r="F546">
        <v>36</v>
      </c>
      <c r="G546" t="s">
        <v>2422</v>
      </c>
      <c r="H546" t="s">
        <v>1767</v>
      </c>
      <c r="I546" t="s">
        <v>2396</v>
      </c>
      <c r="J546" t="s">
        <v>2247</v>
      </c>
    </row>
    <row r="547" spans="2:10" x14ac:dyDescent="0.25">
      <c r="B547" t="s">
        <v>1979</v>
      </c>
      <c r="C547" t="s">
        <v>120</v>
      </c>
      <c r="D547" t="s">
        <v>834</v>
      </c>
      <c r="E547" t="s">
        <v>835</v>
      </c>
      <c r="F547">
        <v>120</v>
      </c>
      <c r="G547" t="s">
        <v>2423</v>
      </c>
      <c r="H547" t="s">
        <v>1631</v>
      </c>
      <c r="I547" t="s">
        <v>2396</v>
      </c>
      <c r="J547" t="s">
        <v>2247</v>
      </c>
    </row>
    <row r="548" spans="2:10" x14ac:dyDescent="0.25">
      <c r="B548" t="s">
        <v>1979</v>
      </c>
      <c r="C548" t="s">
        <v>148</v>
      </c>
      <c r="D548" t="s">
        <v>923</v>
      </c>
      <c r="E548" t="s">
        <v>924</v>
      </c>
      <c r="F548">
        <v>24</v>
      </c>
      <c r="G548" t="s">
        <v>2422</v>
      </c>
      <c r="H548" t="s">
        <v>1767</v>
      </c>
      <c r="I548" t="s">
        <v>2396</v>
      </c>
      <c r="J548" t="s">
        <v>2247</v>
      </c>
    </row>
    <row r="549" spans="2:10" x14ac:dyDescent="0.25">
      <c r="B549" t="s">
        <v>1979</v>
      </c>
      <c r="C549" t="s">
        <v>148</v>
      </c>
      <c r="D549" t="s">
        <v>1346</v>
      </c>
      <c r="E549" t="s">
        <v>1347</v>
      </c>
      <c r="F549">
        <v>40</v>
      </c>
      <c r="G549" t="s">
        <v>2422</v>
      </c>
      <c r="H549" t="s">
        <v>1767</v>
      </c>
      <c r="I549" t="s">
        <v>2396</v>
      </c>
      <c r="J549" t="s">
        <v>2247</v>
      </c>
    </row>
    <row r="550" spans="2:10" x14ac:dyDescent="0.25">
      <c r="B550" t="s">
        <v>1979</v>
      </c>
      <c r="C550" t="s">
        <v>120</v>
      </c>
      <c r="D550" t="s">
        <v>1014</v>
      </c>
      <c r="E550" t="s">
        <v>1015</v>
      </c>
      <c r="F550">
        <v>8</v>
      </c>
      <c r="G550" t="s">
        <v>2521</v>
      </c>
      <c r="H550" t="s">
        <v>1651</v>
      </c>
      <c r="I550" t="s">
        <v>1972</v>
      </c>
      <c r="J550" t="s">
        <v>2247</v>
      </c>
    </row>
    <row r="551" spans="2:10" x14ac:dyDescent="0.25">
      <c r="B551" t="s">
        <v>1979</v>
      </c>
      <c r="C551" t="s">
        <v>712</v>
      </c>
      <c r="D551" t="s">
        <v>713</v>
      </c>
      <c r="E551" t="s">
        <v>714</v>
      </c>
      <c r="F551">
        <v>12</v>
      </c>
      <c r="G551" t="s">
        <v>2521</v>
      </c>
      <c r="H551" t="s">
        <v>1651</v>
      </c>
      <c r="I551" t="s">
        <v>1972</v>
      </c>
      <c r="J551" t="s">
        <v>2247</v>
      </c>
    </row>
    <row r="552" spans="2:10" x14ac:dyDescent="0.25">
      <c r="B552" t="s">
        <v>1979</v>
      </c>
      <c r="C552" t="s">
        <v>623</v>
      </c>
      <c r="D552" t="s">
        <v>813</v>
      </c>
      <c r="E552" t="s">
        <v>814</v>
      </c>
      <c r="F552">
        <v>8</v>
      </c>
      <c r="G552" t="s">
        <v>2521</v>
      </c>
      <c r="H552" t="s">
        <v>1651</v>
      </c>
      <c r="I552" t="s">
        <v>1972</v>
      </c>
      <c r="J552" t="s">
        <v>2247</v>
      </c>
    </row>
    <row r="553" spans="2:10" x14ac:dyDescent="0.25">
      <c r="B553" t="s">
        <v>1979</v>
      </c>
      <c r="C553" t="s">
        <v>145</v>
      </c>
      <c r="D553" t="s">
        <v>974</v>
      </c>
      <c r="E553" t="s">
        <v>975</v>
      </c>
      <c r="F553">
        <v>2</v>
      </c>
      <c r="G553" t="s">
        <v>2521</v>
      </c>
      <c r="H553" t="s">
        <v>1651</v>
      </c>
      <c r="I553" t="s">
        <v>1972</v>
      </c>
      <c r="J553" t="s">
        <v>2247</v>
      </c>
    </row>
    <row r="554" spans="2:10" x14ac:dyDescent="0.25">
      <c r="B554" t="s">
        <v>1979</v>
      </c>
      <c r="C554" t="s">
        <v>145</v>
      </c>
      <c r="D554" t="s">
        <v>974</v>
      </c>
      <c r="E554" t="s">
        <v>975</v>
      </c>
      <c r="F554">
        <v>11</v>
      </c>
      <c r="G554" t="s">
        <v>2521</v>
      </c>
      <c r="H554" t="s">
        <v>1651</v>
      </c>
      <c r="I554" t="s">
        <v>1972</v>
      </c>
      <c r="J554" t="s">
        <v>2247</v>
      </c>
    </row>
    <row r="555" spans="2:10" x14ac:dyDescent="0.25">
      <c r="B555" t="s">
        <v>1979</v>
      </c>
      <c r="C555" t="s">
        <v>145</v>
      </c>
      <c r="D555" t="s">
        <v>974</v>
      </c>
      <c r="E555" t="s">
        <v>975</v>
      </c>
      <c r="F555">
        <v>3</v>
      </c>
      <c r="G555" t="s">
        <v>2521</v>
      </c>
      <c r="H555" t="s">
        <v>1651</v>
      </c>
      <c r="I555" t="s">
        <v>1972</v>
      </c>
      <c r="J555" t="s">
        <v>2247</v>
      </c>
    </row>
    <row r="556" spans="2:10" x14ac:dyDescent="0.25">
      <c r="B556" t="s">
        <v>1979</v>
      </c>
      <c r="C556" t="s">
        <v>20</v>
      </c>
      <c r="D556" t="s">
        <v>173</v>
      </c>
      <c r="E556" t="s">
        <v>174</v>
      </c>
      <c r="F556">
        <v>2</v>
      </c>
      <c r="G556" t="s">
        <v>2521</v>
      </c>
      <c r="H556" t="s">
        <v>1651</v>
      </c>
      <c r="I556" t="s">
        <v>1972</v>
      </c>
      <c r="J556" t="s">
        <v>2247</v>
      </c>
    </row>
    <row r="557" spans="2:10" x14ac:dyDescent="0.25">
      <c r="B557" t="s">
        <v>1979</v>
      </c>
      <c r="C557" t="s">
        <v>20</v>
      </c>
      <c r="D557" t="s">
        <v>173</v>
      </c>
      <c r="E557" t="s">
        <v>174</v>
      </c>
      <c r="F557">
        <v>6</v>
      </c>
      <c r="G557" t="s">
        <v>2521</v>
      </c>
      <c r="H557" t="s">
        <v>1651</v>
      </c>
      <c r="I557" t="s">
        <v>1972</v>
      </c>
      <c r="J557" t="s">
        <v>2247</v>
      </c>
    </row>
    <row r="558" spans="2:10" x14ac:dyDescent="0.25">
      <c r="B558" t="s">
        <v>1979</v>
      </c>
      <c r="C558" t="s">
        <v>20</v>
      </c>
      <c r="D558" t="s">
        <v>459</v>
      </c>
      <c r="E558" t="s">
        <v>460</v>
      </c>
      <c r="F558">
        <v>20</v>
      </c>
      <c r="G558" t="s">
        <v>2522</v>
      </c>
      <c r="H558" t="s">
        <v>1646</v>
      </c>
      <c r="I558" t="s">
        <v>2246</v>
      </c>
      <c r="J558" t="s">
        <v>2247</v>
      </c>
    </row>
    <row r="559" spans="2:10" x14ac:dyDescent="0.25">
      <c r="B559" t="s">
        <v>1979</v>
      </c>
      <c r="C559" t="s">
        <v>20</v>
      </c>
      <c r="D559" t="s">
        <v>459</v>
      </c>
      <c r="E559" t="s">
        <v>460</v>
      </c>
      <c r="F559">
        <v>20</v>
      </c>
      <c r="G559" t="s">
        <v>2523</v>
      </c>
      <c r="H559" t="s">
        <v>1815</v>
      </c>
      <c r="I559" t="s">
        <v>2246</v>
      </c>
      <c r="J559" t="s">
        <v>2247</v>
      </c>
    </row>
    <row r="560" spans="2:10" x14ac:dyDescent="0.25">
      <c r="B560" t="s">
        <v>1979</v>
      </c>
      <c r="C560" t="s">
        <v>164</v>
      </c>
      <c r="D560" t="s">
        <v>167</v>
      </c>
      <c r="E560" t="s">
        <v>168</v>
      </c>
      <c r="F560">
        <v>5</v>
      </c>
      <c r="G560" t="s">
        <v>2524</v>
      </c>
      <c r="H560" t="s">
        <v>1815</v>
      </c>
      <c r="I560" t="s">
        <v>2246</v>
      </c>
      <c r="J560" t="s">
        <v>2247</v>
      </c>
    </row>
    <row r="561" spans="2:10" x14ac:dyDescent="0.25">
      <c r="B561" t="s">
        <v>1979</v>
      </c>
      <c r="C561" t="s">
        <v>164</v>
      </c>
      <c r="D561" t="s">
        <v>169</v>
      </c>
      <c r="E561" t="s">
        <v>170</v>
      </c>
      <c r="F561">
        <v>5</v>
      </c>
      <c r="G561" t="s">
        <v>2524</v>
      </c>
      <c r="H561" t="s">
        <v>1815</v>
      </c>
      <c r="I561" t="s">
        <v>2246</v>
      </c>
      <c r="J561" t="s">
        <v>2247</v>
      </c>
    </row>
    <row r="562" spans="2:10" x14ac:dyDescent="0.25">
      <c r="B562" t="s">
        <v>1979</v>
      </c>
      <c r="C562" t="s">
        <v>164</v>
      </c>
      <c r="D562" t="s">
        <v>400</v>
      </c>
      <c r="E562" t="s">
        <v>401</v>
      </c>
      <c r="F562">
        <v>10</v>
      </c>
      <c r="G562" t="s">
        <v>2524</v>
      </c>
      <c r="H562" t="s">
        <v>1815</v>
      </c>
      <c r="I562" t="s">
        <v>2246</v>
      </c>
      <c r="J562" t="s">
        <v>2247</v>
      </c>
    </row>
    <row r="563" spans="2:10" x14ac:dyDescent="0.25">
      <c r="B563" t="s">
        <v>1979</v>
      </c>
      <c r="C563" t="s">
        <v>25</v>
      </c>
      <c r="D563" t="s">
        <v>470</v>
      </c>
      <c r="E563" t="s">
        <v>471</v>
      </c>
      <c r="F563">
        <v>2</v>
      </c>
      <c r="G563" t="s">
        <v>2525</v>
      </c>
      <c r="H563" t="s">
        <v>1773</v>
      </c>
      <c r="I563" t="s">
        <v>2246</v>
      </c>
      <c r="J563" t="s">
        <v>2247</v>
      </c>
    </row>
    <row r="564" spans="2:10" x14ac:dyDescent="0.25">
      <c r="B564" t="s">
        <v>1979</v>
      </c>
      <c r="C564" t="s">
        <v>25</v>
      </c>
      <c r="D564" t="s">
        <v>470</v>
      </c>
      <c r="E564" t="s">
        <v>471</v>
      </c>
      <c r="F564">
        <v>10</v>
      </c>
      <c r="G564" t="s">
        <v>2525</v>
      </c>
      <c r="H564" t="s">
        <v>1773</v>
      </c>
      <c r="I564" t="s">
        <v>2246</v>
      </c>
      <c r="J564" t="s">
        <v>2247</v>
      </c>
    </row>
    <row r="565" spans="2:10" x14ac:dyDescent="0.25">
      <c r="B565" t="s">
        <v>1979</v>
      </c>
      <c r="C565" t="s">
        <v>25</v>
      </c>
      <c r="D565" t="s">
        <v>470</v>
      </c>
      <c r="E565" t="s">
        <v>471</v>
      </c>
      <c r="F565">
        <v>24</v>
      </c>
      <c r="G565" t="s">
        <v>2526</v>
      </c>
      <c r="H565" t="s">
        <v>1646</v>
      </c>
      <c r="I565" t="s">
        <v>2246</v>
      </c>
      <c r="J565" t="s">
        <v>2247</v>
      </c>
    </row>
    <row r="566" spans="2:10" x14ac:dyDescent="0.25">
      <c r="B566" t="s">
        <v>1979</v>
      </c>
      <c r="C566" t="s">
        <v>83</v>
      </c>
      <c r="D566" t="s">
        <v>993</v>
      </c>
      <c r="E566" t="s">
        <v>994</v>
      </c>
      <c r="F566">
        <v>20</v>
      </c>
      <c r="G566" t="s">
        <v>2523</v>
      </c>
      <c r="H566" t="s">
        <v>1815</v>
      </c>
      <c r="I566" t="s">
        <v>2246</v>
      </c>
      <c r="J566" t="s">
        <v>2247</v>
      </c>
    </row>
    <row r="567" spans="2:10" x14ac:dyDescent="0.25">
      <c r="B567" t="s">
        <v>1979</v>
      </c>
      <c r="C567" t="s">
        <v>237</v>
      </c>
      <c r="D567" t="s">
        <v>1063</v>
      </c>
      <c r="E567" t="s">
        <v>1064</v>
      </c>
      <c r="F567">
        <v>2</v>
      </c>
      <c r="G567" t="s">
        <v>2523</v>
      </c>
      <c r="H567" t="s">
        <v>1815</v>
      </c>
      <c r="I567" t="s">
        <v>2246</v>
      </c>
      <c r="J567" t="s">
        <v>2247</v>
      </c>
    </row>
    <row r="568" spans="2:10" x14ac:dyDescent="0.25">
      <c r="B568" t="s">
        <v>1979</v>
      </c>
      <c r="C568" t="s">
        <v>237</v>
      </c>
      <c r="D568" t="s">
        <v>1063</v>
      </c>
      <c r="E568" t="s">
        <v>1064</v>
      </c>
      <c r="F568">
        <v>2</v>
      </c>
      <c r="G568" t="s">
        <v>2527</v>
      </c>
      <c r="H568" t="s">
        <v>1956</v>
      </c>
      <c r="I568" t="s">
        <v>2246</v>
      </c>
      <c r="J568" t="s">
        <v>2247</v>
      </c>
    </row>
    <row r="569" spans="2:10" x14ac:dyDescent="0.25">
      <c r="B569" t="s">
        <v>1979</v>
      </c>
      <c r="C569" t="s">
        <v>237</v>
      </c>
      <c r="D569" t="s">
        <v>1063</v>
      </c>
      <c r="E569" t="s">
        <v>1064</v>
      </c>
      <c r="F569">
        <v>1</v>
      </c>
      <c r="G569" t="s">
        <v>2522</v>
      </c>
      <c r="H569" t="s">
        <v>1646</v>
      </c>
      <c r="I569" t="s">
        <v>2246</v>
      </c>
      <c r="J569" t="s">
        <v>2247</v>
      </c>
    </row>
    <row r="570" spans="2:10" x14ac:dyDescent="0.25">
      <c r="B570" t="s">
        <v>1979</v>
      </c>
      <c r="C570" t="s">
        <v>8</v>
      </c>
      <c r="D570" t="s">
        <v>605</v>
      </c>
      <c r="E570" t="s">
        <v>606</v>
      </c>
      <c r="F570">
        <v>80</v>
      </c>
      <c r="G570" t="s">
        <v>2522</v>
      </c>
      <c r="H570" t="s">
        <v>1646</v>
      </c>
      <c r="I570" t="s">
        <v>2246</v>
      </c>
      <c r="J570" t="s">
        <v>2247</v>
      </c>
    </row>
    <row r="571" spans="2:10" x14ac:dyDescent="0.25">
      <c r="B571" t="s">
        <v>1979</v>
      </c>
      <c r="C571" t="s">
        <v>8</v>
      </c>
      <c r="D571" t="s">
        <v>605</v>
      </c>
      <c r="E571" t="s">
        <v>606</v>
      </c>
      <c r="F571">
        <v>80</v>
      </c>
      <c r="G571" t="s">
        <v>2523</v>
      </c>
      <c r="H571" t="s">
        <v>1815</v>
      </c>
      <c r="I571" t="s">
        <v>2246</v>
      </c>
      <c r="J571" t="s">
        <v>2247</v>
      </c>
    </row>
    <row r="572" spans="2:10" x14ac:dyDescent="0.25">
      <c r="B572" t="s">
        <v>1979</v>
      </c>
      <c r="C572" t="s">
        <v>715</v>
      </c>
      <c r="D572" t="s">
        <v>716</v>
      </c>
      <c r="E572" t="s">
        <v>717</v>
      </c>
      <c r="F572">
        <v>30</v>
      </c>
      <c r="G572" t="s">
        <v>2523</v>
      </c>
      <c r="H572" t="s">
        <v>1815</v>
      </c>
      <c r="I572" t="s">
        <v>2246</v>
      </c>
      <c r="J572" t="s">
        <v>2247</v>
      </c>
    </row>
    <row r="573" spans="2:10" x14ac:dyDescent="0.25">
      <c r="B573" t="s">
        <v>1979</v>
      </c>
      <c r="C573" t="s">
        <v>715</v>
      </c>
      <c r="D573" t="s">
        <v>716</v>
      </c>
      <c r="E573" t="s">
        <v>717</v>
      </c>
      <c r="F573">
        <v>30</v>
      </c>
      <c r="G573" t="s">
        <v>2522</v>
      </c>
      <c r="H573" t="s">
        <v>1646</v>
      </c>
      <c r="I573" t="s">
        <v>2246</v>
      </c>
      <c r="J573" t="s">
        <v>2247</v>
      </c>
    </row>
    <row r="574" spans="2:10" x14ac:dyDescent="0.25">
      <c r="B574" t="s">
        <v>1979</v>
      </c>
      <c r="C574" t="s">
        <v>120</v>
      </c>
      <c r="D574" t="s">
        <v>540</v>
      </c>
      <c r="E574" t="s">
        <v>541</v>
      </c>
      <c r="F574">
        <v>40</v>
      </c>
      <c r="G574" t="s">
        <v>2522</v>
      </c>
      <c r="H574" t="s">
        <v>1646</v>
      </c>
      <c r="I574" t="s">
        <v>2246</v>
      </c>
      <c r="J574" t="s">
        <v>2247</v>
      </c>
    </row>
    <row r="575" spans="2:10" x14ac:dyDescent="0.25">
      <c r="B575" t="s">
        <v>1979</v>
      </c>
      <c r="C575" t="s">
        <v>272</v>
      </c>
      <c r="D575" t="s">
        <v>273</v>
      </c>
      <c r="E575" t="s">
        <v>274</v>
      </c>
      <c r="F575">
        <v>1</v>
      </c>
      <c r="G575" t="s">
        <v>2527</v>
      </c>
      <c r="H575" t="s">
        <v>1956</v>
      </c>
      <c r="I575" t="s">
        <v>2246</v>
      </c>
      <c r="J575" t="s">
        <v>2247</v>
      </c>
    </row>
    <row r="576" spans="2:10" x14ac:dyDescent="0.25">
      <c r="B576" t="s">
        <v>1979</v>
      </c>
      <c r="C576" t="s">
        <v>272</v>
      </c>
      <c r="D576" t="s">
        <v>273</v>
      </c>
      <c r="E576" t="s">
        <v>274</v>
      </c>
      <c r="F576">
        <v>5</v>
      </c>
      <c r="G576" t="s">
        <v>2522</v>
      </c>
      <c r="H576" t="s">
        <v>1646</v>
      </c>
      <c r="I576" t="s">
        <v>2246</v>
      </c>
      <c r="J576" t="s">
        <v>2247</v>
      </c>
    </row>
    <row r="577" spans="2:10" x14ac:dyDescent="0.25">
      <c r="B577" t="s">
        <v>1979</v>
      </c>
      <c r="C577" t="s">
        <v>25</v>
      </c>
      <c r="D577" t="s">
        <v>470</v>
      </c>
      <c r="E577" t="s">
        <v>471</v>
      </c>
      <c r="F577">
        <v>120</v>
      </c>
      <c r="G577" t="s">
        <v>2426</v>
      </c>
      <c r="H577" t="s">
        <v>1751</v>
      </c>
      <c r="I577" t="s">
        <v>2295</v>
      </c>
      <c r="J577" t="s">
        <v>2247</v>
      </c>
    </row>
    <row r="578" spans="2:10" x14ac:dyDescent="0.25">
      <c r="B578" t="s">
        <v>1979</v>
      </c>
      <c r="C578" t="s">
        <v>40</v>
      </c>
      <c r="D578" t="s">
        <v>41</v>
      </c>
      <c r="E578" t="s">
        <v>42</v>
      </c>
      <c r="F578">
        <v>312</v>
      </c>
      <c r="G578" t="s">
        <v>2425</v>
      </c>
      <c r="H578" t="s">
        <v>1724</v>
      </c>
      <c r="I578" t="s">
        <v>2295</v>
      </c>
      <c r="J578" t="s">
        <v>2247</v>
      </c>
    </row>
    <row r="579" spans="2:10" x14ac:dyDescent="0.25">
      <c r="B579" t="s">
        <v>1979</v>
      </c>
      <c r="C579" t="s">
        <v>40</v>
      </c>
      <c r="D579" t="s">
        <v>41</v>
      </c>
      <c r="E579" t="s">
        <v>42</v>
      </c>
      <c r="F579">
        <v>120</v>
      </c>
      <c r="G579" t="s">
        <v>2424</v>
      </c>
      <c r="H579" t="s">
        <v>1632</v>
      </c>
      <c r="I579" t="s">
        <v>2295</v>
      </c>
      <c r="J579" t="s">
        <v>2247</v>
      </c>
    </row>
    <row r="580" spans="2:10" x14ac:dyDescent="0.25">
      <c r="B580" t="s">
        <v>1979</v>
      </c>
      <c r="C580" t="s">
        <v>73</v>
      </c>
      <c r="D580" t="s">
        <v>983</v>
      </c>
      <c r="E580" t="s">
        <v>984</v>
      </c>
      <c r="F580">
        <v>100</v>
      </c>
      <c r="G580" t="s">
        <v>2427</v>
      </c>
      <c r="H580" t="s">
        <v>1658</v>
      </c>
      <c r="I580" t="s">
        <v>1972</v>
      </c>
      <c r="J580" t="s">
        <v>2247</v>
      </c>
    </row>
    <row r="581" spans="2:10" x14ac:dyDescent="0.25">
      <c r="B581" t="s">
        <v>1979</v>
      </c>
      <c r="C581" t="s">
        <v>73</v>
      </c>
      <c r="D581" t="s">
        <v>983</v>
      </c>
      <c r="E581" t="s">
        <v>984</v>
      </c>
      <c r="F581">
        <v>90</v>
      </c>
      <c r="G581" t="s">
        <v>2427</v>
      </c>
      <c r="H581" t="s">
        <v>1658</v>
      </c>
      <c r="I581" t="s">
        <v>1972</v>
      </c>
      <c r="J581" t="s">
        <v>2247</v>
      </c>
    </row>
    <row r="582" spans="2:10" x14ac:dyDescent="0.25">
      <c r="B582" t="s">
        <v>1979</v>
      </c>
      <c r="C582" t="s">
        <v>715</v>
      </c>
      <c r="D582" t="s">
        <v>716</v>
      </c>
      <c r="E582" t="s">
        <v>717</v>
      </c>
      <c r="F582">
        <v>15</v>
      </c>
      <c r="G582" t="s">
        <v>2528</v>
      </c>
      <c r="H582" t="s">
        <v>1608</v>
      </c>
      <c r="I582" t="s">
        <v>1973</v>
      </c>
      <c r="J582" t="s">
        <v>2247</v>
      </c>
    </row>
    <row r="583" spans="2:10" x14ac:dyDescent="0.25">
      <c r="B583" t="s">
        <v>1979</v>
      </c>
      <c r="C583" t="s">
        <v>715</v>
      </c>
      <c r="D583" t="s">
        <v>716</v>
      </c>
      <c r="E583" t="s">
        <v>717</v>
      </c>
      <c r="F583">
        <v>600</v>
      </c>
      <c r="G583" t="s">
        <v>2428</v>
      </c>
      <c r="H583" t="s">
        <v>1742</v>
      </c>
      <c r="I583" t="s">
        <v>1973</v>
      </c>
      <c r="J583" t="s">
        <v>2247</v>
      </c>
    </row>
    <row r="584" spans="2:10" x14ac:dyDescent="0.25">
      <c r="B584" t="s">
        <v>1979</v>
      </c>
      <c r="C584" t="s">
        <v>40</v>
      </c>
      <c r="D584" t="s">
        <v>41</v>
      </c>
      <c r="E584" t="s">
        <v>42</v>
      </c>
      <c r="F584">
        <v>60</v>
      </c>
      <c r="G584" t="s">
        <v>2429</v>
      </c>
      <c r="H584" t="s">
        <v>1775</v>
      </c>
      <c r="I584" t="s">
        <v>1972</v>
      </c>
      <c r="J584" t="s">
        <v>2247</v>
      </c>
    </row>
    <row r="585" spans="2:10" x14ac:dyDescent="0.25">
      <c r="B585" t="s">
        <v>1979</v>
      </c>
      <c r="C585" t="s">
        <v>80</v>
      </c>
      <c r="D585" t="s">
        <v>572</v>
      </c>
      <c r="E585" t="s">
        <v>573</v>
      </c>
      <c r="F585">
        <v>48</v>
      </c>
      <c r="G585" t="s">
        <v>2430</v>
      </c>
      <c r="H585" t="s">
        <v>1746</v>
      </c>
      <c r="I585" t="s">
        <v>1972</v>
      </c>
      <c r="J585" t="s">
        <v>2247</v>
      </c>
    </row>
    <row r="586" spans="2:10" x14ac:dyDescent="0.25">
      <c r="B586" t="s">
        <v>1979</v>
      </c>
      <c r="C586" t="s">
        <v>25</v>
      </c>
      <c r="D586" t="s">
        <v>470</v>
      </c>
      <c r="E586" t="s">
        <v>471</v>
      </c>
      <c r="F586">
        <v>60</v>
      </c>
      <c r="G586" t="s">
        <v>2430</v>
      </c>
      <c r="H586" t="s">
        <v>1746</v>
      </c>
      <c r="I586" t="s">
        <v>1972</v>
      </c>
      <c r="J586" t="s">
        <v>2247</v>
      </c>
    </row>
    <row r="587" spans="2:10" x14ac:dyDescent="0.25">
      <c r="B587" t="s">
        <v>1979</v>
      </c>
      <c r="C587" t="s">
        <v>20</v>
      </c>
      <c r="D587" t="s">
        <v>1003</v>
      </c>
      <c r="E587" t="s">
        <v>1004</v>
      </c>
      <c r="F587">
        <v>5</v>
      </c>
      <c r="G587" t="s">
        <v>2529</v>
      </c>
      <c r="H587" t="s">
        <v>1720</v>
      </c>
      <c r="I587" t="s">
        <v>1973</v>
      </c>
      <c r="J587" t="s">
        <v>2247</v>
      </c>
    </row>
    <row r="588" spans="2:10" x14ac:dyDescent="0.25">
      <c r="B588" t="s">
        <v>1979</v>
      </c>
      <c r="C588" t="s">
        <v>20</v>
      </c>
      <c r="D588" t="s">
        <v>173</v>
      </c>
      <c r="E588" t="s">
        <v>174</v>
      </c>
      <c r="F588">
        <v>3</v>
      </c>
      <c r="G588" t="s">
        <v>2529</v>
      </c>
      <c r="H588" t="s">
        <v>1720</v>
      </c>
      <c r="I588" t="s">
        <v>1973</v>
      </c>
      <c r="J588" t="s">
        <v>2247</v>
      </c>
    </row>
    <row r="589" spans="2:10" x14ac:dyDescent="0.25">
      <c r="B589" t="s">
        <v>1979</v>
      </c>
      <c r="C589" t="s">
        <v>8</v>
      </c>
      <c r="D589" t="s">
        <v>605</v>
      </c>
      <c r="E589" t="s">
        <v>606</v>
      </c>
      <c r="F589">
        <v>100</v>
      </c>
      <c r="G589" t="s">
        <v>2529</v>
      </c>
      <c r="H589" t="s">
        <v>1720</v>
      </c>
      <c r="I589" t="s">
        <v>1973</v>
      </c>
      <c r="J589" t="s">
        <v>2247</v>
      </c>
    </row>
    <row r="590" spans="2:10" x14ac:dyDescent="0.25">
      <c r="B590" t="s">
        <v>1979</v>
      </c>
      <c r="C590" t="s">
        <v>80</v>
      </c>
      <c r="D590" t="s">
        <v>572</v>
      </c>
      <c r="E590" t="s">
        <v>573</v>
      </c>
      <c r="F590">
        <v>4</v>
      </c>
      <c r="G590" t="s">
        <v>2529</v>
      </c>
      <c r="H590" t="s">
        <v>1720</v>
      </c>
      <c r="I590" t="s">
        <v>1973</v>
      </c>
      <c r="J590" t="s">
        <v>2247</v>
      </c>
    </row>
    <row r="591" spans="2:10" x14ac:dyDescent="0.25">
      <c r="B591" t="s">
        <v>1979</v>
      </c>
      <c r="C591" t="s">
        <v>25</v>
      </c>
      <c r="D591" t="s">
        <v>470</v>
      </c>
      <c r="E591" t="s">
        <v>471</v>
      </c>
      <c r="F591">
        <v>4</v>
      </c>
      <c r="G591" t="s">
        <v>2529</v>
      </c>
      <c r="H591" t="s">
        <v>1720</v>
      </c>
      <c r="I591" t="s">
        <v>1973</v>
      </c>
      <c r="J591" t="s">
        <v>2247</v>
      </c>
    </row>
    <row r="592" spans="2:10" x14ac:dyDescent="0.25">
      <c r="B592" t="s">
        <v>1979</v>
      </c>
      <c r="C592" t="s">
        <v>25</v>
      </c>
      <c r="D592" t="s">
        <v>470</v>
      </c>
      <c r="E592" t="s">
        <v>471</v>
      </c>
      <c r="F592">
        <v>12</v>
      </c>
      <c r="G592" t="s">
        <v>2530</v>
      </c>
      <c r="H592" t="s">
        <v>1658</v>
      </c>
      <c r="I592" t="s">
        <v>1973</v>
      </c>
      <c r="J592" t="s">
        <v>2247</v>
      </c>
    </row>
    <row r="593" spans="2:10" x14ac:dyDescent="0.25">
      <c r="B593" t="s">
        <v>1979</v>
      </c>
      <c r="C593" t="s">
        <v>25</v>
      </c>
      <c r="D593" t="s">
        <v>470</v>
      </c>
      <c r="E593" t="s">
        <v>471</v>
      </c>
      <c r="F593">
        <v>24</v>
      </c>
      <c r="G593" t="s">
        <v>2531</v>
      </c>
      <c r="H593" t="s">
        <v>1653</v>
      </c>
      <c r="I593" t="s">
        <v>1973</v>
      </c>
      <c r="J593" t="s">
        <v>2247</v>
      </c>
    </row>
    <row r="594" spans="2:10" x14ac:dyDescent="0.25">
      <c r="B594" t="s">
        <v>1979</v>
      </c>
      <c r="C594" t="s">
        <v>11</v>
      </c>
      <c r="D594" t="s">
        <v>1326</v>
      </c>
      <c r="E594" t="s">
        <v>1327</v>
      </c>
      <c r="F594">
        <v>20</v>
      </c>
      <c r="G594" t="s">
        <v>2529</v>
      </c>
      <c r="H594" t="s">
        <v>1720</v>
      </c>
      <c r="I594" t="s">
        <v>1973</v>
      </c>
      <c r="J594" t="s">
        <v>2247</v>
      </c>
    </row>
    <row r="595" spans="2:10" x14ac:dyDescent="0.25">
      <c r="B595" t="s">
        <v>1979</v>
      </c>
      <c r="C595" t="s">
        <v>521</v>
      </c>
      <c r="D595" t="s">
        <v>821</v>
      </c>
      <c r="E595" t="s">
        <v>822</v>
      </c>
      <c r="F595">
        <v>10</v>
      </c>
      <c r="G595" t="s">
        <v>2529</v>
      </c>
      <c r="H595" t="s">
        <v>1720</v>
      </c>
      <c r="I595" t="s">
        <v>1973</v>
      </c>
      <c r="J595" t="s">
        <v>2247</v>
      </c>
    </row>
    <row r="596" spans="2:10" x14ac:dyDescent="0.25">
      <c r="B596" t="s">
        <v>1979</v>
      </c>
      <c r="C596" t="s">
        <v>715</v>
      </c>
      <c r="D596" t="s">
        <v>716</v>
      </c>
      <c r="E596" t="s">
        <v>717</v>
      </c>
      <c r="F596">
        <v>120</v>
      </c>
      <c r="G596" t="s">
        <v>2529</v>
      </c>
      <c r="H596" t="s">
        <v>1720</v>
      </c>
      <c r="I596" t="s">
        <v>1973</v>
      </c>
      <c r="J596" t="s">
        <v>2247</v>
      </c>
    </row>
    <row r="597" spans="2:10" x14ac:dyDescent="0.25">
      <c r="B597" t="s">
        <v>1979</v>
      </c>
      <c r="C597" t="s">
        <v>272</v>
      </c>
      <c r="D597" t="s">
        <v>273</v>
      </c>
      <c r="E597" t="s">
        <v>274</v>
      </c>
      <c r="F597">
        <v>12</v>
      </c>
      <c r="G597" t="s">
        <v>2531</v>
      </c>
      <c r="H597" t="s">
        <v>1653</v>
      </c>
      <c r="I597" t="s">
        <v>1973</v>
      </c>
      <c r="J597" t="s">
        <v>2247</v>
      </c>
    </row>
    <row r="598" spans="2:10" x14ac:dyDescent="0.25">
      <c r="B598" t="s">
        <v>1979</v>
      </c>
      <c r="C598" t="s">
        <v>120</v>
      </c>
      <c r="D598" t="s">
        <v>540</v>
      </c>
      <c r="E598" t="s">
        <v>541</v>
      </c>
      <c r="F598">
        <v>20</v>
      </c>
      <c r="G598" t="s">
        <v>2529</v>
      </c>
      <c r="H598" t="s">
        <v>1720</v>
      </c>
      <c r="I598" t="s">
        <v>1973</v>
      </c>
      <c r="J598" t="s">
        <v>2247</v>
      </c>
    </row>
    <row r="599" spans="2:10" x14ac:dyDescent="0.25">
      <c r="B599" t="s">
        <v>1979</v>
      </c>
      <c r="C599" t="s">
        <v>120</v>
      </c>
      <c r="D599" t="s">
        <v>834</v>
      </c>
      <c r="E599" t="s">
        <v>835</v>
      </c>
      <c r="F599">
        <v>10</v>
      </c>
      <c r="G599" t="s">
        <v>2529</v>
      </c>
      <c r="H599" t="s">
        <v>1720</v>
      </c>
      <c r="I599" t="s">
        <v>1973</v>
      </c>
      <c r="J599" t="s">
        <v>2247</v>
      </c>
    </row>
    <row r="600" spans="2:10" x14ac:dyDescent="0.25">
      <c r="B600" t="s">
        <v>1979</v>
      </c>
      <c r="C600" t="s">
        <v>120</v>
      </c>
      <c r="D600" t="s">
        <v>540</v>
      </c>
      <c r="E600" t="s">
        <v>541</v>
      </c>
      <c r="F600">
        <v>160</v>
      </c>
      <c r="G600" t="s">
        <v>2431</v>
      </c>
      <c r="H600" t="s">
        <v>1654</v>
      </c>
      <c r="I600" t="s">
        <v>2246</v>
      </c>
      <c r="J600" t="s">
        <v>2247</v>
      </c>
    </row>
    <row r="601" spans="2:10" x14ac:dyDescent="0.25">
      <c r="B601" t="s">
        <v>1979</v>
      </c>
      <c r="C601" t="s">
        <v>8</v>
      </c>
      <c r="D601" t="s">
        <v>605</v>
      </c>
      <c r="E601" t="s">
        <v>606</v>
      </c>
      <c r="F601">
        <v>120</v>
      </c>
      <c r="G601" t="s">
        <v>2431</v>
      </c>
      <c r="H601" t="s">
        <v>1654</v>
      </c>
      <c r="I601" t="s">
        <v>2246</v>
      </c>
      <c r="J601" t="s">
        <v>2247</v>
      </c>
    </row>
    <row r="602" spans="2:10" x14ac:dyDescent="0.25">
      <c r="B602" t="s">
        <v>1979</v>
      </c>
      <c r="C602" t="s">
        <v>11</v>
      </c>
      <c r="D602" t="s">
        <v>1326</v>
      </c>
      <c r="E602" t="s">
        <v>1327</v>
      </c>
      <c r="F602">
        <v>80</v>
      </c>
      <c r="G602" t="s">
        <v>2431</v>
      </c>
      <c r="H602" t="s">
        <v>1654</v>
      </c>
      <c r="I602" t="s">
        <v>2246</v>
      </c>
      <c r="J602" t="s">
        <v>2247</v>
      </c>
    </row>
    <row r="603" spans="2:10" x14ac:dyDescent="0.25">
      <c r="B603" t="s">
        <v>1979</v>
      </c>
      <c r="C603" t="s">
        <v>25</v>
      </c>
      <c r="D603" t="s">
        <v>470</v>
      </c>
      <c r="E603" t="s">
        <v>471</v>
      </c>
      <c r="F603">
        <v>60</v>
      </c>
      <c r="G603" t="s">
        <v>2431</v>
      </c>
      <c r="H603" t="s">
        <v>1654</v>
      </c>
      <c r="I603" t="s">
        <v>2246</v>
      </c>
      <c r="J603" t="s">
        <v>2247</v>
      </c>
    </row>
    <row r="604" spans="2:10" x14ac:dyDescent="0.25">
      <c r="B604" t="s">
        <v>1979</v>
      </c>
      <c r="C604" t="s">
        <v>25</v>
      </c>
      <c r="D604" t="s">
        <v>470</v>
      </c>
      <c r="E604" t="s">
        <v>471</v>
      </c>
      <c r="F604">
        <v>36</v>
      </c>
      <c r="G604" t="s">
        <v>2433</v>
      </c>
      <c r="H604" t="s">
        <v>1736</v>
      </c>
      <c r="I604" t="s">
        <v>2246</v>
      </c>
      <c r="J604" t="s">
        <v>2247</v>
      </c>
    </row>
    <row r="605" spans="2:10" x14ac:dyDescent="0.25">
      <c r="B605" t="s">
        <v>1979</v>
      </c>
      <c r="C605" t="s">
        <v>25</v>
      </c>
      <c r="D605" t="s">
        <v>470</v>
      </c>
      <c r="E605" t="s">
        <v>471</v>
      </c>
      <c r="F605">
        <v>144</v>
      </c>
      <c r="G605" t="s">
        <v>2432</v>
      </c>
      <c r="H605" t="s">
        <v>1773</v>
      </c>
      <c r="I605" t="s">
        <v>2246</v>
      </c>
      <c r="J605" t="s">
        <v>2247</v>
      </c>
    </row>
    <row r="606" spans="2:10" x14ac:dyDescent="0.25">
      <c r="B606" t="s">
        <v>1979</v>
      </c>
      <c r="C606" t="s">
        <v>40</v>
      </c>
      <c r="D606" t="s">
        <v>41</v>
      </c>
      <c r="E606" t="s">
        <v>42</v>
      </c>
      <c r="F606">
        <v>120</v>
      </c>
      <c r="G606" t="s">
        <v>2432</v>
      </c>
      <c r="H606" t="s">
        <v>1773</v>
      </c>
      <c r="I606" t="s">
        <v>2246</v>
      </c>
      <c r="J606" t="s">
        <v>2247</v>
      </c>
    </row>
    <row r="607" spans="2:10" x14ac:dyDescent="0.25">
      <c r="B607" t="s">
        <v>1979</v>
      </c>
      <c r="C607" t="s">
        <v>20</v>
      </c>
      <c r="D607" t="s">
        <v>459</v>
      </c>
      <c r="E607" t="s">
        <v>460</v>
      </c>
      <c r="F607">
        <v>80</v>
      </c>
      <c r="G607" t="s">
        <v>2431</v>
      </c>
      <c r="H607" t="s">
        <v>1654</v>
      </c>
      <c r="I607" t="s">
        <v>2246</v>
      </c>
      <c r="J607" t="s">
        <v>2247</v>
      </c>
    </row>
    <row r="608" spans="2:10" x14ac:dyDescent="0.25">
      <c r="B608" t="s">
        <v>1979</v>
      </c>
      <c r="C608" t="s">
        <v>8</v>
      </c>
      <c r="D608" t="s">
        <v>605</v>
      </c>
      <c r="E608" t="s">
        <v>606</v>
      </c>
      <c r="F608">
        <v>100</v>
      </c>
      <c r="G608" t="s">
        <v>2434</v>
      </c>
      <c r="H608" t="s">
        <v>1751</v>
      </c>
      <c r="I608" t="s">
        <v>1972</v>
      </c>
      <c r="J608" t="s">
        <v>2247</v>
      </c>
    </row>
    <row r="609" spans="2:10" x14ac:dyDescent="0.25">
      <c r="B609" t="s">
        <v>1979</v>
      </c>
      <c r="C609" t="s">
        <v>214</v>
      </c>
      <c r="D609" t="s">
        <v>755</v>
      </c>
      <c r="E609" t="s">
        <v>756</v>
      </c>
      <c r="F609">
        <v>120</v>
      </c>
      <c r="G609" t="s">
        <v>2434</v>
      </c>
      <c r="H609" t="s">
        <v>1751</v>
      </c>
      <c r="I609" t="s">
        <v>1972</v>
      </c>
      <c r="J609" t="s">
        <v>2247</v>
      </c>
    </row>
    <row r="610" spans="2:10" x14ac:dyDescent="0.25">
      <c r="B610" t="s">
        <v>1979</v>
      </c>
      <c r="C610" t="s">
        <v>145</v>
      </c>
      <c r="D610" t="s">
        <v>146</v>
      </c>
      <c r="E610" t="s">
        <v>147</v>
      </c>
      <c r="F610">
        <v>140</v>
      </c>
      <c r="G610" t="s">
        <v>2434</v>
      </c>
      <c r="H610" t="s">
        <v>1751</v>
      </c>
      <c r="I610" t="s">
        <v>1972</v>
      </c>
      <c r="J610" t="s">
        <v>2247</v>
      </c>
    </row>
    <row r="611" spans="2:10" x14ac:dyDescent="0.25">
      <c r="B611" t="s">
        <v>1979</v>
      </c>
      <c r="C611" t="s">
        <v>521</v>
      </c>
      <c r="D611" t="s">
        <v>877</v>
      </c>
      <c r="E611" t="s">
        <v>878</v>
      </c>
      <c r="F611">
        <v>180</v>
      </c>
      <c r="G611" t="s">
        <v>2435</v>
      </c>
      <c r="H611" t="s">
        <v>1826</v>
      </c>
      <c r="I611" t="s">
        <v>1972</v>
      </c>
      <c r="J611" t="s">
        <v>2247</v>
      </c>
    </row>
    <row r="612" spans="2:10" x14ac:dyDescent="0.25">
      <c r="B612" t="s">
        <v>1979</v>
      </c>
      <c r="C612" t="s">
        <v>52</v>
      </c>
      <c r="D612" t="s">
        <v>722</v>
      </c>
      <c r="E612" t="s">
        <v>723</v>
      </c>
      <c r="F612">
        <v>260</v>
      </c>
      <c r="G612" t="s">
        <v>2434</v>
      </c>
      <c r="H612" t="s">
        <v>1751</v>
      </c>
      <c r="I612" t="s">
        <v>1972</v>
      </c>
      <c r="J612" t="s">
        <v>2247</v>
      </c>
    </row>
    <row r="613" spans="2:10" x14ac:dyDescent="0.25">
      <c r="B613" t="s">
        <v>1979</v>
      </c>
      <c r="C613" t="s">
        <v>120</v>
      </c>
      <c r="D613" t="s">
        <v>540</v>
      </c>
      <c r="E613" t="s">
        <v>541</v>
      </c>
      <c r="F613">
        <v>40</v>
      </c>
      <c r="G613" t="s">
        <v>2436</v>
      </c>
      <c r="H613" t="s">
        <v>1826</v>
      </c>
      <c r="I613" t="s">
        <v>1972</v>
      </c>
      <c r="J613" t="s">
        <v>2247</v>
      </c>
    </row>
    <row r="614" spans="2:10" x14ac:dyDescent="0.25">
      <c r="B614" t="s">
        <v>1979</v>
      </c>
      <c r="C614" t="s">
        <v>521</v>
      </c>
      <c r="D614" t="s">
        <v>877</v>
      </c>
      <c r="E614" t="s">
        <v>878</v>
      </c>
      <c r="F614">
        <v>1000</v>
      </c>
      <c r="G614" t="s">
        <v>2437</v>
      </c>
      <c r="H614" t="s">
        <v>1649</v>
      </c>
      <c r="I614" t="s">
        <v>1972</v>
      </c>
      <c r="J614" t="s">
        <v>2438</v>
      </c>
    </row>
    <row r="615" spans="2:10" x14ac:dyDescent="0.25">
      <c r="B615" t="s">
        <v>1979</v>
      </c>
      <c r="C615" t="s">
        <v>52</v>
      </c>
      <c r="D615" t="s">
        <v>578</v>
      </c>
      <c r="E615" t="s">
        <v>579</v>
      </c>
      <c r="F615">
        <v>10</v>
      </c>
      <c r="G615" t="s">
        <v>2532</v>
      </c>
      <c r="H615" t="s">
        <v>1624</v>
      </c>
      <c r="I615" t="s">
        <v>1973</v>
      </c>
      <c r="J615" t="s">
        <v>2247</v>
      </c>
    </row>
    <row r="616" spans="2:10" x14ac:dyDescent="0.25">
      <c r="B616" t="s">
        <v>1979</v>
      </c>
      <c r="C616" t="s">
        <v>8</v>
      </c>
      <c r="D616" t="s">
        <v>1340</v>
      </c>
      <c r="E616" t="s">
        <v>1341</v>
      </c>
      <c r="F616">
        <v>15</v>
      </c>
      <c r="G616" t="s">
        <v>2532</v>
      </c>
      <c r="H616" t="s">
        <v>1624</v>
      </c>
      <c r="I616" t="s">
        <v>1973</v>
      </c>
      <c r="J616" t="s">
        <v>2247</v>
      </c>
    </row>
    <row r="617" spans="2:10" x14ac:dyDescent="0.25">
      <c r="B617" t="s">
        <v>1979</v>
      </c>
      <c r="C617" t="s">
        <v>55</v>
      </c>
      <c r="D617" t="s">
        <v>56</v>
      </c>
      <c r="E617" t="s">
        <v>57</v>
      </c>
      <c r="F617">
        <v>10</v>
      </c>
      <c r="G617" t="s">
        <v>2532</v>
      </c>
      <c r="H617" t="s">
        <v>1624</v>
      </c>
      <c r="I617" t="s">
        <v>1973</v>
      </c>
      <c r="J617" t="s">
        <v>2247</v>
      </c>
    </row>
    <row r="618" spans="2:10" x14ac:dyDescent="0.25">
      <c r="B618" t="s">
        <v>1979</v>
      </c>
      <c r="C618" t="s">
        <v>209</v>
      </c>
      <c r="D618" t="s">
        <v>965</v>
      </c>
      <c r="E618" t="s">
        <v>966</v>
      </c>
      <c r="F618">
        <v>10</v>
      </c>
      <c r="G618" t="s">
        <v>2532</v>
      </c>
      <c r="H618" t="s">
        <v>1624</v>
      </c>
      <c r="I618" t="s">
        <v>1973</v>
      </c>
      <c r="J618" t="s">
        <v>2247</v>
      </c>
    </row>
    <row r="619" spans="2:10" x14ac:dyDescent="0.25">
      <c r="B619" t="s">
        <v>1979</v>
      </c>
      <c r="C619" t="s">
        <v>145</v>
      </c>
      <c r="D619" t="s">
        <v>225</v>
      </c>
      <c r="E619" t="s">
        <v>226</v>
      </c>
      <c r="F619">
        <v>10</v>
      </c>
      <c r="G619" t="s">
        <v>2532</v>
      </c>
      <c r="H619" t="s">
        <v>1624</v>
      </c>
      <c r="I619" t="s">
        <v>1973</v>
      </c>
      <c r="J619" t="s">
        <v>2247</v>
      </c>
    </row>
    <row r="620" spans="2:10" x14ac:dyDescent="0.25">
      <c r="B620" t="s">
        <v>1979</v>
      </c>
      <c r="C620" t="s">
        <v>11</v>
      </c>
      <c r="D620" t="s">
        <v>1388</v>
      </c>
      <c r="E620" t="s">
        <v>1389</v>
      </c>
      <c r="F620">
        <v>15</v>
      </c>
      <c r="G620" t="s">
        <v>2532</v>
      </c>
      <c r="H620" t="s">
        <v>1624</v>
      </c>
      <c r="I620" t="s">
        <v>1973</v>
      </c>
      <c r="J620" t="s">
        <v>2247</v>
      </c>
    </row>
    <row r="621" spans="2:10" x14ac:dyDescent="0.25">
      <c r="B621" t="s">
        <v>1979</v>
      </c>
      <c r="C621" t="s">
        <v>705</v>
      </c>
      <c r="D621" t="s">
        <v>1117</v>
      </c>
      <c r="E621" t="s">
        <v>1118</v>
      </c>
      <c r="F621">
        <v>15</v>
      </c>
      <c r="G621" t="s">
        <v>2532</v>
      </c>
      <c r="H621" t="s">
        <v>1624</v>
      </c>
      <c r="I621" t="s">
        <v>1973</v>
      </c>
      <c r="J621" t="s">
        <v>2247</v>
      </c>
    </row>
    <row r="622" spans="2:10" x14ac:dyDescent="0.25">
      <c r="B622" t="s">
        <v>1979</v>
      </c>
      <c r="C622" t="s">
        <v>25</v>
      </c>
      <c r="D622" t="s">
        <v>470</v>
      </c>
      <c r="E622" t="s">
        <v>471</v>
      </c>
      <c r="F622">
        <v>200</v>
      </c>
      <c r="G622" t="s">
        <v>2439</v>
      </c>
      <c r="H622" t="s">
        <v>1767</v>
      </c>
      <c r="I622" t="s">
        <v>1973</v>
      </c>
      <c r="J622" t="s">
        <v>2247</v>
      </c>
    </row>
    <row r="623" spans="2:10" x14ac:dyDescent="0.25">
      <c r="B623" t="s">
        <v>1979</v>
      </c>
      <c r="C623" t="s">
        <v>25</v>
      </c>
      <c r="D623" t="s">
        <v>470</v>
      </c>
      <c r="E623" t="s">
        <v>471</v>
      </c>
      <c r="F623">
        <v>204</v>
      </c>
      <c r="G623" t="s">
        <v>2440</v>
      </c>
      <c r="H623" t="s">
        <v>1605</v>
      </c>
      <c r="I623" t="s">
        <v>1973</v>
      </c>
      <c r="J623" t="s">
        <v>2247</v>
      </c>
    </row>
    <row r="624" spans="2:10" x14ac:dyDescent="0.25">
      <c r="B624" t="s">
        <v>1979</v>
      </c>
      <c r="C624" t="s">
        <v>25</v>
      </c>
      <c r="D624" t="s">
        <v>470</v>
      </c>
      <c r="E624" t="s">
        <v>471</v>
      </c>
      <c r="F624">
        <v>5</v>
      </c>
      <c r="G624" t="s">
        <v>2532</v>
      </c>
      <c r="H624" t="s">
        <v>1624</v>
      </c>
      <c r="I624" t="s">
        <v>1973</v>
      </c>
      <c r="J624" t="s">
        <v>2247</v>
      </c>
    </row>
    <row r="625" spans="2:10" x14ac:dyDescent="0.25">
      <c r="B625" t="s">
        <v>1979</v>
      </c>
      <c r="C625" t="s">
        <v>8</v>
      </c>
      <c r="D625" t="s">
        <v>605</v>
      </c>
      <c r="E625" t="s">
        <v>606</v>
      </c>
      <c r="F625">
        <v>540</v>
      </c>
      <c r="G625" t="s">
        <v>2439</v>
      </c>
      <c r="H625" t="s">
        <v>1767</v>
      </c>
      <c r="I625" t="s">
        <v>1973</v>
      </c>
      <c r="J625" t="s">
        <v>2247</v>
      </c>
    </row>
    <row r="626" spans="2:10" x14ac:dyDescent="0.25">
      <c r="B626" t="s">
        <v>1979</v>
      </c>
      <c r="C626" t="s">
        <v>8</v>
      </c>
      <c r="D626" t="s">
        <v>605</v>
      </c>
      <c r="E626" t="s">
        <v>606</v>
      </c>
      <c r="F626">
        <v>6060</v>
      </c>
      <c r="G626" t="s">
        <v>2439</v>
      </c>
      <c r="H626" t="s">
        <v>1767</v>
      </c>
      <c r="I626" t="s">
        <v>1973</v>
      </c>
      <c r="J626" t="s">
        <v>2247</v>
      </c>
    </row>
    <row r="627" spans="2:10" x14ac:dyDescent="0.25">
      <c r="B627" t="s">
        <v>1979</v>
      </c>
      <c r="C627" t="s">
        <v>20</v>
      </c>
      <c r="D627" t="s">
        <v>1003</v>
      </c>
      <c r="E627" t="s">
        <v>1004</v>
      </c>
      <c r="F627">
        <v>10</v>
      </c>
      <c r="G627" t="s">
        <v>2532</v>
      </c>
      <c r="H627" t="s">
        <v>1624</v>
      </c>
      <c r="I627" t="s">
        <v>1973</v>
      </c>
      <c r="J627" t="s">
        <v>2247</v>
      </c>
    </row>
    <row r="628" spans="2:10" x14ac:dyDescent="0.25">
      <c r="B628" t="s">
        <v>1979</v>
      </c>
      <c r="C628" t="s">
        <v>156</v>
      </c>
      <c r="D628" t="s">
        <v>576</v>
      </c>
      <c r="E628" t="s">
        <v>577</v>
      </c>
      <c r="F628">
        <v>75</v>
      </c>
      <c r="G628" t="s">
        <v>2532</v>
      </c>
      <c r="H628" t="s">
        <v>1624</v>
      </c>
      <c r="I628" t="s">
        <v>1973</v>
      </c>
      <c r="J628" t="s">
        <v>2247</v>
      </c>
    </row>
    <row r="629" spans="2:10" x14ac:dyDescent="0.25">
      <c r="B629" t="s">
        <v>1979</v>
      </c>
      <c r="C629" t="s">
        <v>715</v>
      </c>
      <c r="D629" t="s">
        <v>716</v>
      </c>
      <c r="E629" t="s">
        <v>717</v>
      </c>
      <c r="F629">
        <v>360</v>
      </c>
      <c r="G629" t="s">
        <v>2441</v>
      </c>
      <c r="H629" t="s">
        <v>1658</v>
      </c>
      <c r="I629" t="s">
        <v>1973</v>
      </c>
      <c r="J629" t="s">
        <v>2247</v>
      </c>
    </row>
    <row r="630" spans="2:10" x14ac:dyDescent="0.25">
      <c r="B630" t="s">
        <v>1979</v>
      </c>
      <c r="C630" t="s">
        <v>712</v>
      </c>
      <c r="D630" t="s">
        <v>713</v>
      </c>
      <c r="E630" t="s">
        <v>714</v>
      </c>
      <c r="F630">
        <v>1080</v>
      </c>
      <c r="G630" t="s">
        <v>2443</v>
      </c>
      <c r="H630" t="s">
        <v>1612</v>
      </c>
      <c r="I630" t="s">
        <v>1973</v>
      </c>
      <c r="J630" t="s">
        <v>2438</v>
      </c>
    </row>
    <row r="631" spans="2:10" x14ac:dyDescent="0.25">
      <c r="B631" t="s">
        <v>1979</v>
      </c>
      <c r="C631" t="s">
        <v>25</v>
      </c>
      <c r="D631" t="s">
        <v>470</v>
      </c>
      <c r="E631" t="s">
        <v>471</v>
      </c>
      <c r="F631">
        <v>300</v>
      </c>
      <c r="G631" t="s">
        <v>2442</v>
      </c>
      <c r="H631" t="s">
        <v>1720</v>
      </c>
      <c r="I631" t="s">
        <v>1973</v>
      </c>
      <c r="J631" t="s">
        <v>2438</v>
      </c>
    </row>
    <row r="632" spans="2:10" x14ac:dyDescent="0.25">
      <c r="B632" t="s">
        <v>1979</v>
      </c>
      <c r="C632" t="s">
        <v>25</v>
      </c>
      <c r="D632" t="s">
        <v>470</v>
      </c>
      <c r="E632" t="s">
        <v>471</v>
      </c>
      <c r="F632">
        <v>200</v>
      </c>
      <c r="G632" t="s">
        <v>2444</v>
      </c>
      <c r="H632" t="s">
        <v>1956</v>
      </c>
      <c r="I632" t="s">
        <v>1973</v>
      </c>
      <c r="J632" t="s">
        <v>2354</v>
      </c>
    </row>
    <row r="633" spans="2:10" x14ac:dyDescent="0.25">
      <c r="B633" t="s">
        <v>1979</v>
      </c>
      <c r="C633" t="s">
        <v>352</v>
      </c>
      <c r="D633" t="s">
        <v>1380</v>
      </c>
      <c r="E633" t="s">
        <v>1381</v>
      </c>
      <c r="F633">
        <v>2000</v>
      </c>
      <c r="G633" t="s">
        <v>2444</v>
      </c>
      <c r="H633" t="s">
        <v>1956</v>
      </c>
      <c r="I633" t="s">
        <v>1973</v>
      </c>
      <c r="J633" t="s">
        <v>2354</v>
      </c>
    </row>
    <row r="634" spans="2:10" x14ac:dyDescent="0.25">
      <c r="B634" t="s">
        <v>1979</v>
      </c>
      <c r="C634" t="s">
        <v>11</v>
      </c>
      <c r="D634" t="s">
        <v>1326</v>
      </c>
      <c r="E634" t="s">
        <v>1327</v>
      </c>
      <c r="F634">
        <v>20</v>
      </c>
      <c r="G634" t="s">
        <v>2533</v>
      </c>
      <c r="H634" t="s">
        <v>1742</v>
      </c>
      <c r="I634" t="s">
        <v>2534</v>
      </c>
      <c r="J634" t="s">
        <v>2247</v>
      </c>
    </row>
    <row r="635" spans="2:10" x14ac:dyDescent="0.25">
      <c r="B635" t="s">
        <v>1979</v>
      </c>
      <c r="C635" t="s">
        <v>20</v>
      </c>
      <c r="D635" t="s">
        <v>459</v>
      </c>
      <c r="E635" t="s">
        <v>460</v>
      </c>
      <c r="F635">
        <v>20</v>
      </c>
      <c r="G635" t="s">
        <v>2533</v>
      </c>
      <c r="H635" t="s">
        <v>1742</v>
      </c>
      <c r="I635" t="s">
        <v>2534</v>
      </c>
      <c r="J635" t="s">
        <v>2247</v>
      </c>
    </row>
    <row r="636" spans="2:10" x14ac:dyDescent="0.25">
      <c r="B636" t="s">
        <v>1979</v>
      </c>
      <c r="C636" t="s">
        <v>585</v>
      </c>
      <c r="D636" t="s">
        <v>586</v>
      </c>
      <c r="E636" t="s">
        <v>587</v>
      </c>
      <c r="F636">
        <v>40</v>
      </c>
      <c r="G636" t="s">
        <v>2533</v>
      </c>
      <c r="H636" t="s">
        <v>1742</v>
      </c>
      <c r="I636" t="s">
        <v>2534</v>
      </c>
      <c r="J636" t="s">
        <v>2247</v>
      </c>
    </row>
    <row r="637" spans="2:10" x14ac:dyDescent="0.25">
      <c r="B637" t="s">
        <v>1979</v>
      </c>
      <c r="C637" t="s">
        <v>148</v>
      </c>
      <c r="D637" t="s">
        <v>544</v>
      </c>
      <c r="E637" t="s">
        <v>545</v>
      </c>
      <c r="F637">
        <v>20</v>
      </c>
      <c r="G637" t="s">
        <v>2533</v>
      </c>
      <c r="H637" t="s">
        <v>1742</v>
      </c>
      <c r="I637" t="s">
        <v>2534</v>
      </c>
      <c r="J637" t="s">
        <v>2247</v>
      </c>
    </row>
    <row r="638" spans="2:10" x14ac:dyDescent="0.25">
      <c r="B638" t="s">
        <v>1979</v>
      </c>
      <c r="C638" t="s">
        <v>585</v>
      </c>
      <c r="D638" t="s">
        <v>726</v>
      </c>
      <c r="E638" t="s">
        <v>727</v>
      </c>
      <c r="F638">
        <v>100</v>
      </c>
      <c r="G638" t="s">
        <v>2445</v>
      </c>
      <c r="H638" t="s">
        <v>1718</v>
      </c>
      <c r="I638" t="s">
        <v>2295</v>
      </c>
      <c r="J638" t="s">
        <v>2247</v>
      </c>
    </row>
    <row r="639" spans="2:10" x14ac:dyDescent="0.25">
      <c r="B639" t="s">
        <v>1979</v>
      </c>
      <c r="C639" t="s">
        <v>715</v>
      </c>
      <c r="D639" t="s">
        <v>716</v>
      </c>
      <c r="E639" t="s">
        <v>717</v>
      </c>
      <c r="F639">
        <v>15</v>
      </c>
      <c r="G639" t="s">
        <v>2535</v>
      </c>
      <c r="H639" t="s">
        <v>1775</v>
      </c>
      <c r="I639" t="s">
        <v>1972</v>
      </c>
      <c r="J639" t="s">
        <v>2247</v>
      </c>
    </row>
    <row r="640" spans="2:10" x14ac:dyDescent="0.25">
      <c r="B640" t="s">
        <v>1979</v>
      </c>
      <c r="C640" t="s">
        <v>114</v>
      </c>
      <c r="D640" t="s">
        <v>115</v>
      </c>
      <c r="E640" t="s">
        <v>116</v>
      </c>
      <c r="F640">
        <v>15</v>
      </c>
      <c r="G640" t="s">
        <v>2536</v>
      </c>
      <c r="H640" t="s">
        <v>1631</v>
      </c>
      <c r="I640" t="s">
        <v>1972</v>
      </c>
      <c r="J640" t="s">
        <v>2247</v>
      </c>
    </row>
    <row r="641" spans="2:10" x14ac:dyDescent="0.25">
      <c r="B641" t="s">
        <v>1979</v>
      </c>
      <c r="C641" t="s">
        <v>20</v>
      </c>
      <c r="D641" t="s">
        <v>459</v>
      </c>
      <c r="E641" t="s">
        <v>460</v>
      </c>
      <c r="F641">
        <v>20</v>
      </c>
      <c r="G641" t="s">
        <v>2535</v>
      </c>
      <c r="H641" t="s">
        <v>1775</v>
      </c>
      <c r="I641" t="s">
        <v>1972</v>
      </c>
      <c r="J641" t="s">
        <v>2247</v>
      </c>
    </row>
    <row r="642" spans="2:10" x14ac:dyDescent="0.25">
      <c r="B642" t="s">
        <v>1979</v>
      </c>
      <c r="C642" t="s">
        <v>8</v>
      </c>
      <c r="D642" t="s">
        <v>605</v>
      </c>
      <c r="E642" t="s">
        <v>606</v>
      </c>
      <c r="F642">
        <v>60</v>
      </c>
      <c r="G642" t="s">
        <v>2535</v>
      </c>
      <c r="H642" t="s">
        <v>1775</v>
      </c>
      <c r="I642" t="s">
        <v>1972</v>
      </c>
      <c r="J642" t="s">
        <v>2247</v>
      </c>
    </row>
    <row r="643" spans="2:10" x14ac:dyDescent="0.25">
      <c r="B643" t="s">
        <v>1979</v>
      </c>
      <c r="C643" t="s">
        <v>80</v>
      </c>
      <c r="D643" t="s">
        <v>572</v>
      </c>
      <c r="E643" t="s">
        <v>573</v>
      </c>
      <c r="F643">
        <v>3</v>
      </c>
      <c r="G643" t="s">
        <v>2535</v>
      </c>
      <c r="H643" t="s">
        <v>1775</v>
      </c>
      <c r="I643" t="s">
        <v>1972</v>
      </c>
      <c r="J643" t="s">
        <v>2247</v>
      </c>
    </row>
    <row r="644" spans="2:10" x14ac:dyDescent="0.25">
      <c r="B644" t="s">
        <v>1979</v>
      </c>
      <c r="C644" t="s">
        <v>80</v>
      </c>
      <c r="D644" t="s">
        <v>572</v>
      </c>
      <c r="E644" t="s">
        <v>573</v>
      </c>
      <c r="F644">
        <v>3</v>
      </c>
      <c r="G644" t="s">
        <v>2536</v>
      </c>
      <c r="H644" t="s">
        <v>1631</v>
      </c>
      <c r="I644" t="s">
        <v>1972</v>
      </c>
      <c r="J644" t="s">
        <v>2247</v>
      </c>
    </row>
    <row r="645" spans="2:10" x14ac:dyDescent="0.25">
      <c r="B645" t="s">
        <v>1979</v>
      </c>
      <c r="C645" t="s">
        <v>61</v>
      </c>
      <c r="D645" t="s">
        <v>159</v>
      </c>
      <c r="E645" t="s">
        <v>160</v>
      </c>
      <c r="F645">
        <v>15</v>
      </c>
      <c r="G645" t="s">
        <v>2535</v>
      </c>
      <c r="H645" t="s">
        <v>1775</v>
      </c>
      <c r="I645" t="s">
        <v>1972</v>
      </c>
      <c r="J645" t="s">
        <v>2247</v>
      </c>
    </row>
    <row r="646" spans="2:10" x14ac:dyDescent="0.25">
      <c r="B646" t="s">
        <v>1979</v>
      </c>
      <c r="C646" t="s">
        <v>61</v>
      </c>
      <c r="D646" t="s">
        <v>1171</v>
      </c>
      <c r="E646" t="s">
        <v>1172</v>
      </c>
      <c r="F646">
        <v>1</v>
      </c>
      <c r="G646" t="s">
        <v>2535</v>
      </c>
      <c r="H646" t="s">
        <v>1775</v>
      </c>
      <c r="I646" t="s">
        <v>1972</v>
      </c>
      <c r="J646" t="s">
        <v>2247</v>
      </c>
    </row>
    <row r="647" spans="2:10" x14ac:dyDescent="0.25">
      <c r="B647" t="s">
        <v>1979</v>
      </c>
      <c r="C647" t="s">
        <v>203</v>
      </c>
      <c r="D647" t="s">
        <v>961</v>
      </c>
      <c r="E647" t="s">
        <v>962</v>
      </c>
      <c r="F647">
        <v>30</v>
      </c>
      <c r="G647" t="s">
        <v>2535</v>
      </c>
      <c r="H647" t="s">
        <v>1775</v>
      </c>
      <c r="I647" t="s">
        <v>1972</v>
      </c>
      <c r="J647" t="s">
        <v>2247</v>
      </c>
    </row>
    <row r="648" spans="2:10" x14ac:dyDescent="0.25">
      <c r="B648" t="s">
        <v>1979</v>
      </c>
      <c r="C648" t="s">
        <v>25</v>
      </c>
      <c r="D648" t="s">
        <v>470</v>
      </c>
      <c r="E648" t="s">
        <v>471</v>
      </c>
      <c r="F648">
        <v>24</v>
      </c>
      <c r="G648" t="s">
        <v>2446</v>
      </c>
      <c r="H648" t="s">
        <v>2148</v>
      </c>
      <c r="I648" t="s">
        <v>2396</v>
      </c>
      <c r="J648" t="s">
        <v>2247</v>
      </c>
    </row>
    <row r="649" spans="2:10" x14ac:dyDescent="0.25">
      <c r="B649" t="s">
        <v>1979</v>
      </c>
      <c r="C649" t="s">
        <v>712</v>
      </c>
      <c r="D649" t="s">
        <v>713</v>
      </c>
      <c r="E649" t="s">
        <v>714</v>
      </c>
      <c r="F649">
        <v>120</v>
      </c>
      <c r="G649" t="s">
        <v>2446</v>
      </c>
      <c r="H649" t="s">
        <v>2148</v>
      </c>
      <c r="I649" t="s">
        <v>2396</v>
      </c>
      <c r="J649" t="s">
        <v>2247</v>
      </c>
    </row>
    <row r="650" spans="2:10" x14ac:dyDescent="0.25">
      <c r="B650" t="s">
        <v>1979</v>
      </c>
      <c r="C650" t="s">
        <v>712</v>
      </c>
      <c r="D650" t="s">
        <v>713</v>
      </c>
      <c r="E650" t="s">
        <v>714</v>
      </c>
      <c r="F650">
        <v>300</v>
      </c>
      <c r="G650" t="s">
        <v>2448</v>
      </c>
      <c r="H650" t="s">
        <v>1826</v>
      </c>
      <c r="I650" t="s">
        <v>2396</v>
      </c>
      <c r="J650" t="s">
        <v>2247</v>
      </c>
    </row>
    <row r="651" spans="2:10" x14ac:dyDescent="0.25">
      <c r="B651" t="s">
        <v>1979</v>
      </c>
      <c r="C651" t="s">
        <v>712</v>
      </c>
      <c r="D651" t="s">
        <v>713</v>
      </c>
      <c r="E651" t="s">
        <v>714</v>
      </c>
      <c r="F651">
        <v>300</v>
      </c>
      <c r="G651" t="s">
        <v>2447</v>
      </c>
      <c r="H651" t="s">
        <v>1660</v>
      </c>
      <c r="I651" t="s">
        <v>2396</v>
      </c>
      <c r="J651" t="s">
        <v>2247</v>
      </c>
    </row>
    <row r="652" spans="2:10" x14ac:dyDescent="0.25">
      <c r="B652" t="s">
        <v>1979</v>
      </c>
      <c r="C652" t="s">
        <v>411</v>
      </c>
      <c r="D652" t="s">
        <v>412</v>
      </c>
      <c r="E652" t="s">
        <v>413</v>
      </c>
      <c r="F652">
        <v>14000</v>
      </c>
      <c r="G652" t="s">
        <v>2449</v>
      </c>
      <c r="H652" t="s">
        <v>1724</v>
      </c>
      <c r="I652" t="s">
        <v>1972</v>
      </c>
      <c r="J652" t="s">
        <v>2438</v>
      </c>
    </row>
    <row r="653" spans="2:10" x14ac:dyDescent="0.25">
      <c r="B653" t="s">
        <v>1979</v>
      </c>
      <c r="C653" t="s">
        <v>712</v>
      </c>
      <c r="D653" t="s">
        <v>713</v>
      </c>
      <c r="E653" t="s">
        <v>714</v>
      </c>
      <c r="F653">
        <v>120</v>
      </c>
      <c r="G653" t="s">
        <v>2450</v>
      </c>
      <c r="H653" t="s">
        <v>1640</v>
      </c>
      <c r="I653" t="s">
        <v>2396</v>
      </c>
      <c r="J653" t="s">
        <v>2438</v>
      </c>
    </row>
    <row r="654" spans="2:10" x14ac:dyDescent="0.25">
      <c r="B654" t="s">
        <v>1979</v>
      </c>
      <c r="C654" t="s">
        <v>120</v>
      </c>
      <c r="D654" t="s">
        <v>834</v>
      </c>
      <c r="E654" t="s">
        <v>835</v>
      </c>
      <c r="F654">
        <v>160</v>
      </c>
      <c r="G654" t="s">
        <v>2451</v>
      </c>
      <c r="H654" t="s">
        <v>1624</v>
      </c>
      <c r="I654" t="s">
        <v>2396</v>
      </c>
      <c r="J654" t="s">
        <v>2438</v>
      </c>
    </row>
    <row r="655" spans="2:10" x14ac:dyDescent="0.25">
      <c r="B655" t="s">
        <v>1979</v>
      </c>
      <c r="C655" t="s">
        <v>120</v>
      </c>
      <c r="D655" t="s">
        <v>834</v>
      </c>
      <c r="E655" t="s">
        <v>835</v>
      </c>
      <c r="F655">
        <v>140</v>
      </c>
      <c r="G655" t="s">
        <v>2450</v>
      </c>
      <c r="H655" t="s">
        <v>1640</v>
      </c>
      <c r="I655" t="s">
        <v>2396</v>
      </c>
      <c r="J655" t="s">
        <v>2438</v>
      </c>
    </row>
    <row r="656" spans="2:10" x14ac:dyDescent="0.25">
      <c r="B656" t="s">
        <v>1979</v>
      </c>
      <c r="C656" t="s">
        <v>120</v>
      </c>
      <c r="D656" t="s">
        <v>1014</v>
      </c>
      <c r="E656" t="s">
        <v>1015</v>
      </c>
      <c r="F656">
        <v>7</v>
      </c>
      <c r="G656" t="s">
        <v>2450</v>
      </c>
      <c r="H656" t="s">
        <v>1640</v>
      </c>
      <c r="I656" t="s">
        <v>2396</v>
      </c>
      <c r="J656" t="s">
        <v>2438</v>
      </c>
    </row>
    <row r="657" spans="2:10" x14ac:dyDescent="0.25">
      <c r="B657" t="s">
        <v>1979</v>
      </c>
      <c r="C657" t="s">
        <v>120</v>
      </c>
      <c r="D657" t="s">
        <v>1014</v>
      </c>
      <c r="E657" t="s">
        <v>1015</v>
      </c>
      <c r="F657">
        <v>17</v>
      </c>
      <c r="G657" t="s">
        <v>2450</v>
      </c>
      <c r="H657" t="s">
        <v>1640</v>
      </c>
      <c r="I657" t="s">
        <v>2396</v>
      </c>
      <c r="J657" t="s">
        <v>2438</v>
      </c>
    </row>
    <row r="658" spans="2:10" x14ac:dyDescent="0.25">
      <c r="B658" t="s">
        <v>1979</v>
      </c>
      <c r="C658" t="s">
        <v>120</v>
      </c>
      <c r="D658" t="s">
        <v>540</v>
      </c>
      <c r="E658" t="s">
        <v>541</v>
      </c>
      <c r="F658">
        <v>80</v>
      </c>
      <c r="G658" t="s">
        <v>2450</v>
      </c>
      <c r="H658" t="s">
        <v>1640</v>
      </c>
      <c r="I658" t="s">
        <v>2396</v>
      </c>
      <c r="J658" t="s">
        <v>2438</v>
      </c>
    </row>
    <row r="659" spans="2:10" x14ac:dyDescent="0.25">
      <c r="B659" t="s">
        <v>1979</v>
      </c>
      <c r="C659" t="s">
        <v>25</v>
      </c>
      <c r="D659" t="s">
        <v>470</v>
      </c>
      <c r="E659" t="s">
        <v>471</v>
      </c>
      <c r="F659">
        <v>48</v>
      </c>
      <c r="G659" t="s">
        <v>2450</v>
      </c>
      <c r="H659" t="s">
        <v>1640</v>
      </c>
      <c r="I659" t="s">
        <v>2396</v>
      </c>
      <c r="J659" t="s">
        <v>2438</v>
      </c>
    </row>
    <row r="660" spans="2:10" x14ac:dyDescent="0.25">
      <c r="B660" t="s">
        <v>1979</v>
      </c>
      <c r="C660" t="s">
        <v>25</v>
      </c>
      <c r="D660" t="s">
        <v>470</v>
      </c>
      <c r="E660" t="s">
        <v>471</v>
      </c>
      <c r="F660">
        <v>24</v>
      </c>
      <c r="G660" t="s">
        <v>2451</v>
      </c>
      <c r="H660" t="s">
        <v>1624</v>
      </c>
      <c r="I660" t="s">
        <v>2396</v>
      </c>
      <c r="J660" t="s">
        <v>2438</v>
      </c>
    </row>
    <row r="661" spans="2:10" x14ac:dyDescent="0.25">
      <c r="B661" t="s">
        <v>1979</v>
      </c>
      <c r="C661" t="s">
        <v>80</v>
      </c>
      <c r="D661" t="s">
        <v>572</v>
      </c>
      <c r="E661" t="s">
        <v>573</v>
      </c>
      <c r="F661">
        <v>24</v>
      </c>
      <c r="G661" t="s">
        <v>2450</v>
      </c>
      <c r="H661" t="s">
        <v>1640</v>
      </c>
      <c r="I661" t="s">
        <v>2396</v>
      </c>
      <c r="J661" t="s">
        <v>2438</v>
      </c>
    </row>
    <row r="662" spans="2:10" x14ac:dyDescent="0.25">
      <c r="B662" t="s">
        <v>1979</v>
      </c>
      <c r="C662" t="s">
        <v>20</v>
      </c>
      <c r="D662" t="s">
        <v>459</v>
      </c>
      <c r="E662" t="s">
        <v>460</v>
      </c>
      <c r="F662">
        <v>60</v>
      </c>
      <c r="G662" t="s">
        <v>2451</v>
      </c>
      <c r="H662" t="s">
        <v>1624</v>
      </c>
      <c r="I662" t="s">
        <v>2396</v>
      </c>
      <c r="J662" t="s">
        <v>2438</v>
      </c>
    </row>
    <row r="663" spans="2:10" x14ac:dyDescent="0.25">
      <c r="B663" t="s">
        <v>1979</v>
      </c>
      <c r="C663" t="s">
        <v>20</v>
      </c>
      <c r="D663" t="s">
        <v>1003</v>
      </c>
      <c r="E663" t="s">
        <v>1004</v>
      </c>
      <c r="F663">
        <v>10</v>
      </c>
      <c r="G663" t="s">
        <v>2451</v>
      </c>
      <c r="H663" t="s">
        <v>1624</v>
      </c>
      <c r="I663" t="s">
        <v>2396</v>
      </c>
      <c r="J663" t="s">
        <v>2438</v>
      </c>
    </row>
    <row r="664" spans="2:10" x14ac:dyDescent="0.25">
      <c r="B664" t="s">
        <v>1979</v>
      </c>
      <c r="C664" t="s">
        <v>20</v>
      </c>
      <c r="D664" t="s">
        <v>1003</v>
      </c>
      <c r="E664" t="s">
        <v>1004</v>
      </c>
      <c r="F664">
        <v>150</v>
      </c>
      <c r="G664" t="s">
        <v>2451</v>
      </c>
      <c r="H664" t="s">
        <v>1624</v>
      </c>
      <c r="I664" t="s">
        <v>2396</v>
      </c>
      <c r="J664" t="s">
        <v>2438</v>
      </c>
    </row>
    <row r="665" spans="2:10" x14ac:dyDescent="0.25">
      <c r="B665" t="s">
        <v>1979</v>
      </c>
      <c r="C665" t="s">
        <v>8</v>
      </c>
      <c r="D665" t="s">
        <v>171</v>
      </c>
      <c r="E665" t="s">
        <v>172</v>
      </c>
      <c r="F665">
        <v>3</v>
      </c>
      <c r="G665" t="s">
        <v>2450</v>
      </c>
      <c r="H665" t="s">
        <v>1640</v>
      </c>
      <c r="I665" t="s">
        <v>2396</v>
      </c>
      <c r="J665" t="s">
        <v>2438</v>
      </c>
    </row>
    <row r="666" spans="2:10" x14ac:dyDescent="0.25">
      <c r="B666" t="s">
        <v>1979</v>
      </c>
      <c r="C666" t="s">
        <v>8</v>
      </c>
      <c r="D666" t="s">
        <v>171</v>
      </c>
      <c r="E666" t="s">
        <v>172</v>
      </c>
      <c r="F666">
        <v>18</v>
      </c>
      <c r="G666" t="s">
        <v>2450</v>
      </c>
      <c r="H666" t="s">
        <v>1640</v>
      </c>
      <c r="I666" t="s">
        <v>2396</v>
      </c>
      <c r="J666" t="s">
        <v>2438</v>
      </c>
    </row>
    <row r="667" spans="2:10" x14ac:dyDescent="0.25">
      <c r="B667" t="s">
        <v>1979</v>
      </c>
      <c r="C667" t="s">
        <v>8</v>
      </c>
      <c r="D667" t="s">
        <v>171</v>
      </c>
      <c r="E667" t="s">
        <v>172</v>
      </c>
      <c r="F667">
        <v>51</v>
      </c>
      <c r="G667" t="s">
        <v>2450</v>
      </c>
      <c r="H667" t="s">
        <v>1640</v>
      </c>
      <c r="I667" t="s">
        <v>2396</v>
      </c>
      <c r="J667" t="s">
        <v>2438</v>
      </c>
    </row>
    <row r="668" spans="2:10" x14ac:dyDescent="0.25">
      <c r="B668" t="s">
        <v>1979</v>
      </c>
      <c r="C668" t="s">
        <v>8</v>
      </c>
      <c r="D668" t="s">
        <v>1340</v>
      </c>
      <c r="E668" t="s">
        <v>1341</v>
      </c>
      <c r="F668">
        <v>15</v>
      </c>
      <c r="G668" t="s">
        <v>2450</v>
      </c>
      <c r="H668" t="s">
        <v>1640</v>
      </c>
      <c r="I668" t="s">
        <v>2396</v>
      </c>
      <c r="J668" t="s">
        <v>2438</v>
      </c>
    </row>
    <row r="669" spans="2:10" x14ac:dyDescent="0.25">
      <c r="B669" t="s">
        <v>1979</v>
      </c>
      <c r="C669" t="s">
        <v>8</v>
      </c>
      <c r="D669" t="s">
        <v>1340</v>
      </c>
      <c r="E669" t="s">
        <v>1341</v>
      </c>
      <c r="F669">
        <v>105</v>
      </c>
      <c r="G669" t="s">
        <v>2450</v>
      </c>
      <c r="H669" t="s">
        <v>1640</v>
      </c>
      <c r="I669" t="s">
        <v>2396</v>
      </c>
      <c r="J669" t="s">
        <v>2438</v>
      </c>
    </row>
    <row r="670" spans="2:10" x14ac:dyDescent="0.25">
      <c r="B670" t="s">
        <v>1979</v>
      </c>
      <c r="C670" t="s">
        <v>8</v>
      </c>
      <c r="D670" t="s">
        <v>1340</v>
      </c>
      <c r="E670" t="s">
        <v>1341</v>
      </c>
      <c r="F670">
        <v>160</v>
      </c>
      <c r="G670" t="s">
        <v>2451</v>
      </c>
      <c r="H670" t="s">
        <v>1624</v>
      </c>
      <c r="I670" t="s">
        <v>2396</v>
      </c>
      <c r="J670" t="s">
        <v>2438</v>
      </c>
    </row>
    <row r="671" spans="2:10" x14ac:dyDescent="0.25">
      <c r="B671" t="s">
        <v>1979</v>
      </c>
      <c r="C671" t="s">
        <v>145</v>
      </c>
      <c r="D671" t="s">
        <v>146</v>
      </c>
      <c r="E671" t="s">
        <v>147</v>
      </c>
      <c r="F671">
        <v>120</v>
      </c>
      <c r="G671" t="s">
        <v>2450</v>
      </c>
      <c r="H671" t="s">
        <v>1640</v>
      </c>
      <c r="I671" t="s">
        <v>2396</v>
      </c>
      <c r="J671" t="s">
        <v>2438</v>
      </c>
    </row>
    <row r="672" spans="2:10" x14ac:dyDescent="0.25">
      <c r="B672" t="s">
        <v>1979</v>
      </c>
      <c r="C672" t="s">
        <v>145</v>
      </c>
      <c r="D672" t="s">
        <v>225</v>
      </c>
      <c r="E672" t="s">
        <v>226</v>
      </c>
      <c r="F672">
        <v>5</v>
      </c>
      <c r="G672" t="s">
        <v>2451</v>
      </c>
      <c r="H672" t="s">
        <v>1624</v>
      </c>
      <c r="I672" t="s">
        <v>2396</v>
      </c>
      <c r="J672" t="s">
        <v>2438</v>
      </c>
    </row>
    <row r="673" spans="2:10" x14ac:dyDescent="0.25">
      <c r="B673" t="s">
        <v>1979</v>
      </c>
      <c r="C673" t="s">
        <v>145</v>
      </c>
      <c r="D673" t="s">
        <v>225</v>
      </c>
      <c r="E673" t="s">
        <v>226</v>
      </c>
      <c r="F673">
        <v>140</v>
      </c>
      <c r="G673" t="s">
        <v>2450</v>
      </c>
      <c r="H673" t="s">
        <v>1640</v>
      </c>
      <c r="I673" t="s">
        <v>2396</v>
      </c>
      <c r="J673" t="s">
        <v>2438</v>
      </c>
    </row>
    <row r="674" spans="2:10" x14ac:dyDescent="0.25">
      <c r="B674" t="s">
        <v>1979</v>
      </c>
      <c r="C674" t="s">
        <v>145</v>
      </c>
      <c r="D674" t="s">
        <v>225</v>
      </c>
      <c r="E674" t="s">
        <v>226</v>
      </c>
      <c r="F674">
        <v>40</v>
      </c>
      <c r="G674" t="s">
        <v>2451</v>
      </c>
      <c r="H674" t="s">
        <v>1624</v>
      </c>
      <c r="I674" t="s">
        <v>2396</v>
      </c>
      <c r="J674" t="s">
        <v>2438</v>
      </c>
    </row>
    <row r="675" spans="2:10" x14ac:dyDescent="0.25">
      <c r="B675" t="s">
        <v>1979</v>
      </c>
      <c r="C675" t="s">
        <v>145</v>
      </c>
      <c r="D675" t="s">
        <v>225</v>
      </c>
      <c r="E675" t="s">
        <v>226</v>
      </c>
      <c r="F675">
        <v>15</v>
      </c>
      <c r="G675" t="s">
        <v>2451</v>
      </c>
      <c r="H675" t="s">
        <v>1624</v>
      </c>
      <c r="I675" t="s">
        <v>2396</v>
      </c>
      <c r="J675" t="s">
        <v>2438</v>
      </c>
    </row>
    <row r="676" spans="2:10" x14ac:dyDescent="0.25">
      <c r="B676" t="s">
        <v>1979</v>
      </c>
      <c r="C676" t="s">
        <v>145</v>
      </c>
      <c r="D676" t="s">
        <v>974</v>
      </c>
      <c r="E676" t="s">
        <v>975</v>
      </c>
      <c r="F676">
        <v>13</v>
      </c>
      <c r="G676" t="s">
        <v>2450</v>
      </c>
      <c r="H676" t="s">
        <v>1640</v>
      </c>
      <c r="I676" t="s">
        <v>2396</v>
      </c>
      <c r="J676" t="s">
        <v>2438</v>
      </c>
    </row>
    <row r="677" spans="2:10" x14ac:dyDescent="0.25">
      <c r="B677" t="s">
        <v>1979</v>
      </c>
      <c r="C677" t="s">
        <v>145</v>
      </c>
      <c r="D677" t="s">
        <v>974</v>
      </c>
      <c r="E677" t="s">
        <v>975</v>
      </c>
      <c r="F677">
        <v>35</v>
      </c>
      <c r="G677" t="s">
        <v>2450</v>
      </c>
      <c r="H677" t="s">
        <v>1640</v>
      </c>
      <c r="I677" t="s">
        <v>2396</v>
      </c>
      <c r="J677" t="s">
        <v>2438</v>
      </c>
    </row>
    <row r="678" spans="2:10" x14ac:dyDescent="0.25">
      <c r="B678" t="s">
        <v>1979</v>
      </c>
      <c r="C678" t="s">
        <v>623</v>
      </c>
      <c r="D678" t="s">
        <v>813</v>
      </c>
      <c r="E678" t="s">
        <v>814</v>
      </c>
      <c r="F678">
        <v>10</v>
      </c>
      <c r="G678" t="s">
        <v>2450</v>
      </c>
      <c r="H678" t="s">
        <v>1640</v>
      </c>
      <c r="I678" t="s">
        <v>2396</v>
      </c>
      <c r="J678" t="s">
        <v>2438</v>
      </c>
    </row>
    <row r="679" spans="2:10" x14ac:dyDescent="0.25">
      <c r="B679" t="s">
        <v>1979</v>
      </c>
      <c r="C679" t="s">
        <v>623</v>
      </c>
      <c r="D679" t="s">
        <v>813</v>
      </c>
      <c r="E679" t="s">
        <v>814</v>
      </c>
      <c r="F679">
        <v>2</v>
      </c>
      <c r="G679" t="s">
        <v>2450</v>
      </c>
      <c r="H679" t="s">
        <v>1640</v>
      </c>
      <c r="I679" t="s">
        <v>2396</v>
      </c>
      <c r="J679" t="s">
        <v>2438</v>
      </c>
    </row>
    <row r="680" spans="2:10" x14ac:dyDescent="0.25">
      <c r="B680" t="s">
        <v>1979</v>
      </c>
      <c r="C680" t="s">
        <v>61</v>
      </c>
      <c r="D680" t="s">
        <v>1171</v>
      </c>
      <c r="E680" t="s">
        <v>1172</v>
      </c>
      <c r="F680">
        <v>1</v>
      </c>
      <c r="G680" t="s">
        <v>2537</v>
      </c>
      <c r="H680" t="s">
        <v>1739</v>
      </c>
      <c r="I680" t="s">
        <v>2538</v>
      </c>
      <c r="J680" t="s">
        <v>2539</v>
      </c>
    </row>
    <row r="681" spans="2:10" x14ac:dyDescent="0.25">
      <c r="B681" t="s">
        <v>1979</v>
      </c>
      <c r="C681" t="s">
        <v>61</v>
      </c>
      <c r="D681" t="s">
        <v>1171</v>
      </c>
      <c r="E681" t="s">
        <v>1172</v>
      </c>
      <c r="F681">
        <v>1</v>
      </c>
      <c r="G681" t="s">
        <v>2537</v>
      </c>
      <c r="H681" t="s">
        <v>1739</v>
      </c>
      <c r="I681" t="s">
        <v>2538</v>
      </c>
      <c r="J681" t="s">
        <v>2539</v>
      </c>
    </row>
    <row r="682" spans="2:10" x14ac:dyDescent="0.25">
      <c r="B682" t="s">
        <v>1979</v>
      </c>
      <c r="C682" t="s">
        <v>61</v>
      </c>
      <c r="D682" t="s">
        <v>159</v>
      </c>
      <c r="E682" t="s">
        <v>160</v>
      </c>
      <c r="F682">
        <v>15</v>
      </c>
      <c r="G682" t="s">
        <v>2537</v>
      </c>
      <c r="H682" t="s">
        <v>1739</v>
      </c>
      <c r="I682" t="s">
        <v>2538</v>
      </c>
      <c r="J682" t="s">
        <v>2539</v>
      </c>
    </row>
    <row r="683" spans="2:10" x14ac:dyDescent="0.25">
      <c r="B683" t="s">
        <v>1979</v>
      </c>
      <c r="C683" t="s">
        <v>61</v>
      </c>
      <c r="D683" t="s">
        <v>159</v>
      </c>
      <c r="E683" t="s">
        <v>160</v>
      </c>
      <c r="F683">
        <v>15</v>
      </c>
      <c r="G683" t="s">
        <v>2537</v>
      </c>
      <c r="H683" t="s">
        <v>1739</v>
      </c>
      <c r="I683" t="s">
        <v>2538</v>
      </c>
      <c r="J683" t="s">
        <v>2539</v>
      </c>
    </row>
    <row r="684" spans="2:10" x14ac:dyDescent="0.25">
      <c r="B684" t="s">
        <v>1979</v>
      </c>
      <c r="C684" t="s">
        <v>61</v>
      </c>
      <c r="D684" t="s">
        <v>159</v>
      </c>
      <c r="E684" t="s">
        <v>160</v>
      </c>
      <c r="F684">
        <v>5</v>
      </c>
      <c r="G684" t="s">
        <v>2537</v>
      </c>
      <c r="H684" t="s">
        <v>1739</v>
      </c>
      <c r="I684" t="s">
        <v>2538</v>
      </c>
      <c r="J684" t="s">
        <v>2539</v>
      </c>
    </row>
    <row r="685" spans="2:10" x14ac:dyDescent="0.25">
      <c r="B685" t="s">
        <v>1979</v>
      </c>
      <c r="C685" t="s">
        <v>8</v>
      </c>
      <c r="D685" t="s">
        <v>605</v>
      </c>
      <c r="E685" t="s">
        <v>606</v>
      </c>
      <c r="F685">
        <v>20</v>
      </c>
      <c r="G685" t="s">
        <v>2540</v>
      </c>
      <c r="H685" t="s">
        <v>1646</v>
      </c>
      <c r="I685" t="s">
        <v>2538</v>
      </c>
      <c r="J685" t="s">
        <v>2539</v>
      </c>
    </row>
    <row r="686" spans="2:10" x14ac:dyDescent="0.25">
      <c r="B686" t="s">
        <v>1979</v>
      </c>
      <c r="C686" t="s">
        <v>8</v>
      </c>
      <c r="D686" t="s">
        <v>1340</v>
      </c>
      <c r="E686" t="s">
        <v>1341</v>
      </c>
      <c r="F686">
        <v>15</v>
      </c>
      <c r="G686" t="s">
        <v>2537</v>
      </c>
      <c r="H686" t="s">
        <v>1739</v>
      </c>
      <c r="I686" t="s">
        <v>2538</v>
      </c>
      <c r="J686" t="s">
        <v>2539</v>
      </c>
    </row>
    <row r="687" spans="2:10" x14ac:dyDescent="0.25">
      <c r="B687" t="s">
        <v>1979</v>
      </c>
      <c r="C687" t="s">
        <v>8</v>
      </c>
      <c r="D687" t="s">
        <v>1340</v>
      </c>
      <c r="E687" t="s">
        <v>1341</v>
      </c>
      <c r="F687">
        <v>15</v>
      </c>
      <c r="G687" t="s">
        <v>2540</v>
      </c>
      <c r="H687" t="s">
        <v>1646</v>
      </c>
      <c r="I687" t="s">
        <v>2538</v>
      </c>
      <c r="J687" t="s">
        <v>2539</v>
      </c>
    </row>
    <row r="688" spans="2:10" x14ac:dyDescent="0.25">
      <c r="B688" t="s">
        <v>1979</v>
      </c>
      <c r="C688" t="s">
        <v>8</v>
      </c>
      <c r="D688" t="s">
        <v>171</v>
      </c>
      <c r="E688" t="s">
        <v>172</v>
      </c>
      <c r="F688">
        <v>3</v>
      </c>
      <c r="G688" t="s">
        <v>2537</v>
      </c>
      <c r="H688" t="s">
        <v>1739</v>
      </c>
      <c r="I688" t="s">
        <v>2538</v>
      </c>
      <c r="J688" t="s">
        <v>2539</v>
      </c>
    </row>
    <row r="689" spans="2:10" x14ac:dyDescent="0.25">
      <c r="B689" t="s">
        <v>1979</v>
      </c>
      <c r="C689" t="s">
        <v>203</v>
      </c>
      <c r="D689" t="s">
        <v>961</v>
      </c>
      <c r="E689" t="s">
        <v>962</v>
      </c>
      <c r="F689">
        <v>10</v>
      </c>
      <c r="G689" t="s">
        <v>2537</v>
      </c>
      <c r="H689" t="s">
        <v>1739</v>
      </c>
      <c r="I689" t="s">
        <v>2538</v>
      </c>
      <c r="J689" t="s">
        <v>2539</v>
      </c>
    </row>
    <row r="690" spans="2:10" x14ac:dyDescent="0.25">
      <c r="B690" t="s">
        <v>1979</v>
      </c>
      <c r="C690" t="s">
        <v>203</v>
      </c>
      <c r="D690" t="s">
        <v>961</v>
      </c>
      <c r="E690" t="s">
        <v>962</v>
      </c>
      <c r="F690">
        <v>10</v>
      </c>
      <c r="G690" t="s">
        <v>2537</v>
      </c>
      <c r="H690" t="s">
        <v>1739</v>
      </c>
      <c r="I690" t="s">
        <v>2538</v>
      </c>
      <c r="J690" t="s">
        <v>2539</v>
      </c>
    </row>
    <row r="691" spans="2:10" x14ac:dyDescent="0.25">
      <c r="B691" t="s">
        <v>1979</v>
      </c>
      <c r="C691" t="s">
        <v>203</v>
      </c>
      <c r="D691" t="s">
        <v>961</v>
      </c>
      <c r="E691" t="s">
        <v>962</v>
      </c>
      <c r="F691">
        <v>5</v>
      </c>
      <c r="G691" t="s">
        <v>2537</v>
      </c>
      <c r="H691" t="s">
        <v>1739</v>
      </c>
      <c r="I691" t="s">
        <v>2538</v>
      </c>
      <c r="J691" t="s">
        <v>2539</v>
      </c>
    </row>
    <row r="692" spans="2:10" x14ac:dyDescent="0.25">
      <c r="B692" t="s">
        <v>1979</v>
      </c>
      <c r="C692" t="s">
        <v>203</v>
      </c>
      <c r="D692" t="s">
        <v>753</v>
      </c>
      <c r="E692" t="s">
        <v>754</v>
      </c>
      <c r="F692">
        <v>4</v>
      </c>
      <c r="G692" t="s">
        <v>2537</v>
      </c>
      <c r="H692" t="s">
        <v>1739</v>
      </c>
      <c r="I692" t="s">
        <v>2538</v>
      </c>
      <c r="J692" t="s">
        <v>2539</v>
      </c>
    </row>
    <row r="693" spans="2:10" x14ac:dyDescent="0.25">
      <c r="B693" t="s">
        <v>1979</v>
      </c>
      <c r="C693" t="s">
        <v>203</v>
      </c>
      <c r="D693" t="s">
        <v>963</v>
      </c>
      <c r="E693" t="s">
        <v>964</v>
      </c>
      <c r="F693">
        <v>20</v>
      </c>
      <c r="G693" t="s">
        <v>2537</v>
      </c>
      <c r="H693" t="s">
        <v>1739</v>
      </c>
      <c r="I693" t="s">
        <v>2538</v>
      </c>
      <c r="J693" t="s">
        <v>2539</v>
      </c>
    </row>
    <row r="694" spans="2:10" x14ac:dyDescent="0.25">
      <c r="B694" t="s">
        <v>1979</v>
      </c>
      <c r="C694" t="s">
        <v>203</v>
      </c>
      <c r="D694" t="s">
        <v>963</v>
      </c>
      <c r="E694" t="s">
        <v>964</v>
      </c>
      <c r="F694">
        <v>20</v>
      </c>
      <c r="G694" t="s">
        <v>2537</v>
      </c>
      <c r="H694" t="s">
        <v>1739</v>
      </c>
      <c r="I694" t="s">
        <v>2538</v>
      </c>
      <c r="J694" t="s">
        <v>2539</v>
      </c>
    </row>
    <row r="695" spans="2:10" x14ac:dyDescent="0.25">
      <c r="B695" t="s">
        <v>1979</v>
      </c>
      <c r="C695" t="s">
        <v>20</v>
      </c>
      <c r="D695" t="s">
        <v>1003</v>
      </c>
      <c r="E695" t="s">
        <v>1004</v>
      </c>
      <c r="F695">
        <v>5</v>
      </c>
      <c r="G695" t="s">
        <v>2537</v>
      </c>
      <c r="H695" t="s">
        <v>1739</v>
      </c>
      <c r="I695" t="s">
        <v>2538</v>
      </c>
      <c r="J695" t="s">
        <v>2539</v>
      </c>
    </row>
    <row r="696" spans="2:10" x14ac:dyDescent="0.25">
      <c r="B696" t="s">
        <v>1979</v>
      </c>
      <c r="C696" t="s">
        <v>20</v>
      </c>
      <c r="D696" t="s">
        <v>173</v>
      </c>
      <c r="E696" t="s">
        <v>174</v>
      </c>
      <c r="F696">
        <v>1</v>
      </c>
      <c r="G696" t="s">
        <v>2537</v>
      </c>
      <c r="H696" t="s">
        <v>1739</v>
      </c>
      <c r="I696" t="s">
        <v>2538</v>
      </c>
      <c r="J696" t="s">
        <v>2539</v>
      </c>
    </row>
    <row r="697" spans="2:10" x14ac:dyDescent="0.25">
      <c r="B697" t="s">
        <v>1979</v>
      </c>
      <c r="C697" t="s">
        <v>20</v>
      </c>
      <c r="D697" t="s">
        <v>459</v>
      </c>
      <c r="E697" t="s">
        <v>460</v>
      </c>
      <c r="F697">
        <v>20</v>
      </c>
      <c r="G697" t="s">
        <v>2537</v>
      </c>
      <c r="H697" t="s">
        <v>1739</v>
      </c>
      <c r="I697" t="s">
        <v>2538</v>
      </c>
      <c r="J697" t="s">
        <v>2539</v>
      </c>
    </row>
    <row r="698" spans="2:10" x14ac:dyDescent="0.25">
      <c r="B698" t="s">
        <v>1979</v>
      </c>
      <c r="C698" t="s">
        <v>20</v>
      </c>
      <c r="D698" t="s">
        <v>459</v>
      </c>
      <c r="E698" t="s">
        <v>460</v>
      </c>
      <c r="F698">
        <v>20</v>
      </c>
      <c r="G698" t="s">
        <v>2537</v>
      </c>
      <c r="H698" t="s">
        <v>1739</v>
      </c>
      <c r="I698" t="s">
        <v>2538</v>
      </c>
      <c r="J698" t="s">
        <v>2539</v>
      </c>
    </row>
    <row r="699" spans="2:10" x14ac:dyDescent="0.25">
      <c r="B699" t="s">
        <v>1979</v>
      </c>
      <c r="C699" t="s">
        <v>8</v>
      </c>
      <c r="D699" t="s">
        <v>605</v>
      </c>
      <c r="E699" t="s">
        <v>606</v>
      </c>
      <c r="F699">
        <v>60</v>
      </c>
      <c r="G699" t="s">
        <v>2537</v>
      </c>
      <c r="H699" t="s">
        <v>1739</v>
      </c>
      <c r="I699" t="s">
        <v>2538</v>
      </c>
      <c r="J699" t="s">
        <v>2539</v>
      </c>
    </row>
    <row r="700" spans="2:10" x14ac:dyDescent="0.25">
      <c r="B700" t="s">
        <v>1979</v>
      </c>
      <c r="C700" t="s">
        <v>8</v>
      </c>
      <c r="D700" t="s">
        <v>605</v>
      </c>
      <c r="E700" t="s">
        <v>606</v>
      </c>
      <c r="F700">
        <v>60</v>
      </c>
      <c r="G700" t="s">
        <v>2537</v>
      </c>
      <c r="H700" t="s">
        <v>1739</v>
      </c>
      <c r="I700" t="s">
        <v>2538</v>
      </c>
      <c r="J700" t="s">
        <v>2539</v>
      </c>
    </row>
    <row r="701" spans="2:10" x14ac:dyDescent="0.25">
      <c r="B701" t="s">
        <v>1979</v>
      </c>
      <c r="C701" t="s">
        <v>80</v>
      </c>
      <c r="D701" t="s">
        <v>572</v>
      </c>
      <c r="E701" t="s">
        <v>573</v>
      </c>
      <c r="F701">
        <v>3</v>
      </c>
      <c r="G701" t="s">
        <v>2537</v>
      </c>
      <c r="H701" t="s">
        <v>1739</v>
      </c>
      <c r="I701" t="s">
        <v>2538</v>
      </c>
      <c r="J701" t="s">
        <v>2539</v>
      </c>
    </row>
    <row r="702" spans="2:10" x14ac:dyDescent="0.25">
      <c r="B702" t="s">
        <v>1979</v>
      </c>
      <c r="C702" t="s">
        <v>80</v>
      </c>
      <c r="D702" t="s">
        <v>572</v>
      </c>
      <c r="E702" t="s">
        <v>573</v>
      </c>
      <c r="F702">
        <v>1</v>
      </c>
      <c r="G702" t="s">
        <v>2537</v>
      </c>
      <c r="H702" t="s">
        <v>1739</v>
      </c>
      <c r="I702" t="s">
        <v>2538</v>
      </c>
      <c r="J702" t="s">
        <v>2539</v>
      </c>
    </row>
    <row r="703" spans="2:10" x14ac:dyDescent="0.25">
      <c r="B703" t="s">
        <v>1979</v>
      </c>
      <c r="C703" t="s">
        <v>377</v>
      </c>
      <c r="D703" t="s">
        <v>378</v>
      </c>
      <c r="E703" t="s">
        <v>379</v>
      </c>
      <c r="F703">
        <v>30</v>
      </c>
      <c r="G703" t="s">
        <v>2537</v>
      </c>
      <c r="H703" t="s">
        <v>1739</v>
      </c>
      <c r="I703" t="s">
        <v>2538</v>
      </c>
      <c r="J703" t="s">
        <v>2539</v>
      </c>
    </row>
    <row r="704" spans="2:10" x14ac:dyDescent="0.25">
      <c r="B704" t="s">
        <v>1979</v>
      </c>
      <c r="C704" t="s">
        <v>25</v>
      </c>
      <c r="D704" t="s">
        <v>470</v>
      </c>
      <c r="E704" t="s">
        <v>471</v>
      </c>
      <c r="F704">
        <v>8</v>
      </c>
      <c r="G704" t="s">
        <v>2541</v>
      </c>
      <c r="H704" t="s">
        <v>1691</v>
      </c>
      <c r="I704" t="s">
        <v>2538</v>
      </c>
      <c r="J704" t="s">
        <v>2539</v>
      </c>
    </row>
    <row r="705" spans="2:10" x14ac:dyDescent="0.25">
      <c r="B705" t="s">
        <v>1979</v>
      </c>
      <c r="C705" t="s">
        <v>40</v>
      </c>
      <c r="D705" t="s">
        <v>41</v>
      </c>
      <c r="E705" t="s">
        <v>42</v>
      </c>
      <c r="F705">
        <v>8</v>
      </c>
      <c r="G705" t="s">
        <v>2541</v>
      </c>
      <c r="H705" t="s">
        <v>1691</v>
      </c>
      <c r="I705" t="s">
        <v>2538</v>
      </c>
      <c r="J705" t="s">
        <v>2539</v>
      </c>
    </row>
    <row r="706" spans="2:10" x14ac:dyDescent="0.25">
      <c r="B706" t="s">
        <v>1979</v>
      </c>
      <c r="C706" t="s">
        <v>715</v>
      </c>
      <c r="D706" t="s">
        <v>716</v>
      </c>
      <c r="E706" t="s">
        <v>717</v>
      </c>
      <c r="F706">
        <v>30</v>
      </c>
      <c r="G706" t="s">
        <v>2537</v>
      </c>
      <c r="H706" t="s">
        <v>1739</v>
      </c>
      <c r="I706" t="s">
        <v>2538</v>
      </c>
      <c r="J706" t="s">
        <v>2539</v>
      </c>
    </row>
    <row r="707" spans="2:10" x14ac:dyDescent="0.25">
      <c r="B707" t="s">
        <v>1979</v>
      </c>
      <c r="C707" t="s">
        <v>715</v>
      </c>
      <c r="D707" t="s">
        <v>716</v>
      </c>
      <c r="E707" t="s">
        <v>717</v>
      </c>
      <c r="F707">
        <v>30</v>
      </c>
      <c r="G707" t="s">
        <v>2537</v>
      </c>
      <c r="H707" t="s">
        <v>1739</v>
      </c>
      <c r="I707" t="s">
        <v>2538</v>
      </c>
      <c r="J707" t="s">
        <v>2539</v>
      </c>
    </row>
    <row r="708" spans="2:10" x14ac:dyDescent="0.25">
      <c r="B708" t="s">
        <v>1979</v>
      </c>
      <c r="C708" t="s">
        <v>715</v>
      </c>
      <c r="D708" t="s">
        <v>716</v>
      </c>
      <c r="E708" t="s">
        <v>717</v>
      </c>
      <c r="F708">
        <v>15</v>
      </c>
      <c r="G708" t="s">
        <v>2537</v>
      </c>
      <c r="H708" t="s">
        <v>1739</v>
      </c>
      <c r="I708" t="s">
        <v>2538</v>
      </c>
      <c r="J708" t="s">
        <v>2539</v>
      </c>
    </row>
    <row r="709" spans="2:10" x14ac:dyDescent="0.25">
      <c r="B709" t="s">
        <v>1979</v>
      </c>
      <c r="C709" t="s">
        <v>25</v>
      </c>
      <c r="D709" t="s">
        <v>470</v>
      </c>
      <c r="E709" t="s">
        <v>471</v>
      </c>
      <c r="F709">
        <v>120</v>
      </c>
      <c r="G709" t="s">
        <v>2452</v>
      </c>
      <c r="H709" t="s">
        <v>1806</v>
      </c>
      <c r="I709" t="s">
        <v>2246</v>
      </c>
      <c r="J709" t="s">
        <v>2354</v>
      </c>
    </row>
    <row r="710" spans="2:10" x14ac:dyDescent="0.25">
      <c r="B710" t="s">
        <v>1979</v>
      </c>
      <c r="C710" t="s">
        <v>25</v>
      </c>
      <c r="D710" t="s">
        <v>470</v>
      </c>
      <c r="E710" t="s">
        <v>471</v>
      </c>
      <c r="F710">
        <v>60</v>
      </c>
      <c r="G710" t="s">
        <v>2453</v>
      </c>
      <c r="H710" t="s">
        <v>1608</v>
      </c>
      <c r="I710" t="s">
        <v>1973</v>
      </c>
      <c r="J710" t="s">
        <v>2354</v>
      </c>
    </row>
    <row r="711" spans="2:10" x14ac:dyDescent="0.25">
      <c r="B711" t="s">
        <v>1979</v>
      </c>
      <c r="C711" t="s">
        <v>140</v>
      </c>
      <c r="D711" t="s">
        <v>570</v>
      </c>
      <c r="E711" t="s">
        <v>571</v>
      </c>
      <c r="F711">
        <v>36</v>
      </c>
      <c r="G711" t="s">
        <v>2453</v>
      </c>
      <c r="H711" t="s">
        <v>1608</v>
      </c>
      <c r="I711" t="s">
        <v>1973</v>
      </c>
      <c r="J711" t="s">
        <v>2354</v>
      </c>
    </row>
    <row r="712" spans="2:10" x14ac:dyDescent="0.25">
      <c r="B712" t="s">
        <v>1979</v>
      </c>
      <c r="C712" t="s">
        <v>17</v>
      </c>
      <c r="D712" t="s">
        <v>455</v>
      </c>
      <c r="E712" t="s">
        <v>456</v>
      </c>
      <c r="F712">
        <v>120</v>
      </c>
      <c r="G712" t="s">
        <v>2453</v>
      </c>
      <c r="H712" t="s">
        <v>1608</v>
      </c>
      <c r="I712" t="s">
        <v>1973</v>
      </c>
      <c r="J712" t="s">
        <v>2354</v>
      </c>
    </row>
    <row r="713" spans="2:10" x14ac:dyDescent="0.25">
      <c r="B713" t="s">
        <v>1979</v>
      </c>
      <c r="C713" t="s">
        <v>17</v>
      </c>
      <c r="D713" t="s">
        <v>607</v>
      </c>
      <c r="E713" t="s">
        <v>608</v>
      </c>
      <c r="F713">
        <v>200</v>
      </c>
      <c r="G713" t="s">
        <v>2453</v>
      </c>
      <c r="H713" t="s">
        <v>1608</v>
      </c>
      <c r="I713" t="s">
        <v>1973</v>
      </c>
      <c r="J713" t="s">
        <v>2354</v>
      </c>
    </row>
    <row r="714" spans="2:10" x14ac:dyDescent="0.25">
      <c r="B714" t="s">
        <v>1979</v>
      </c>
      <c r="C714" t="s">
        <v>17</v>
      </c>
      <c r="D714" t="s">
        <v>255</v>
      </c>
      <c r="E714" t="s">
        <v>256</v>
      </c>
      <c r="F714">
        <v>700</v>
      </c>
      <c r="G714" t="s">
        <v>2453</v>
      </c>
      <c r="H714" t="s">
        <v>1608</v>
      </c>
      <c r="I714" t="s">
        <v>1973</v>
      </c>
      <c r="J714" t="s">
        <v>2354</v>
      </c>
    </row>
    <row r="715" spans="2:10" x14ac:dyDescent="0.25">
      <c r="B715" t="s">
        <v>1979</v>
      </c>
      <c r="C715" t="s">
        <v>20</v>
      </c>
      <c r="D715" t="s">
        <v>1003</v>
      </c>
      <c r="E715" t="s">
        <v>1004</v>
      </c>
      <c r="F715">
        <v>20</v>
      </c>
      <c r="G715" t="s">
        <v>2454</v>
      </c>
      <c r="H715" t="s">
        <v>1622</v>
      </c>
      <c r="I715" t="s">
        <v>1973</v>
      </c>
      <c r="J715" t="s">
        <v>2354</v>
      </c>
    </row>
    <row r="716" spans="2:10" x14ac:dyDescent="0.25">
      <c r="B716" t="s">
        <v>1979</v>
      </c>
      <c r="C716" t="s">
        <v>20</v>
      </c>
      <c r="D716" t="s">
        <v>173</v>
      </c>
      <c r="E716" t="s">
        <v>174</v>
      </c>
      <c r="F716">
        <v>12</v>
      </c>
      <c r="G716" t="s">
        <v>2453</v>
      </c>
      <c r="H716" t="s">
        <v>1608</v>
      </c>
      <c r="I716" t="s">
        <v>1973</v>
      </c>
      <c r="J716" t="s">
        <v>2354</v>
      </c>
    </row>
    <row r="717" spans="2:10" x14ac:dyDescent="0.25">
      <c r="B717" t="s">
        <v>1979</v>
      </c>
      <c r="C717" t="s">
        <v>161</v>
      </c>
      <c r="D717" t="s">
        <v>1121</v>
      </c>
      <c r="E717" t="s">
        <v>1122</v>
      </c>
      <c r="F717">
        <v>40</v>
      </c>
      <c r="G717" t="s">
        <v>2454</v>
      </c>
      <c r="H717" t="s">
        <v>1622</v>
      </c>
      <c r="I717" t="s">
        <v>1973</v>
      </c>
      <c r="J717" t="s">
        <v>2354</v>
      </c>
    </row>
    <row r="718" spans="2:10" x14ac:dyDescent="0.25">
      <c r="B718" t="s">
        <v>1979</v>
      </c>
      <c r="C718" t="s">
        <v>161</v>
      </c>
      <c r="D718" t="s">
        <v>1121</v>
      </c>
      <c r="E718" t="s">
        <v>1122</v>
      </c>
      <c r="F718">
        <v>60</v>
      </c>
      <c r="G718" t="s">
        <v>2454</v>
      </c>
      <c r="H718" t="s">
        <v>1622</v>
      </c>
      <c r="I718" t="s">
        <v>1973</v>
      </c>
      <c r="J718" t="s">
        <v>2354</v>
      </c>
    </row>
    <row r="719" spans="2:10" x14ac:dyDescent="0.25">
      <c r="B719" t="s">
        <v>1979</v>
      </c>
      <c r="C719" t="s">
        <v>52</v>
      </c>
      <c r="D719" t="s">
        <v>578</v>
      </c>
      <c r="E719" t="s">
        <v>579</v>
      </c>
      <c r="F719">
        <v>180</v>
      </c>
      <c r="G719" t="s">
        <v>2453</v>
      </c>
      <c r="H719" t="s">
        <v>1608</v>
      </c>
      <c r="I719" t="s">
        <v>1973</v>
      </c>
      <c r="J719" t="s">
        <v>2354</v>
      </c>
    </row>
    <row r="720" spans="2:10" x14ac:dyDescent="0.25">
      <c r="B720" t="s">
        <v>1979</v>
      </c>
      <c r="C720" t="s">
        <v>518</v>
      </c>
      <c r="D720" t="s">
        <v>1202</v>
      </c>
      <c r="E720" t="s">
        <v>1203</v>
      </c>
      <c r="F720">
        <v>580</v>
      </c>
      <c r="G720" t="s">
        <v>2453</v>
      </c>
      <c r="H720" t="s">
        <v>1608</v>
      </c>
      <c r="I720" t="s">
        <v>1973</v>
      </c>
      <c r="J720" t="s">
        <v>2354</v>
      </c>
    </row>
    <row r="721" spans="2:10" x14ac:dyDescent="0.25">
      <c r="B721" t="s">
        <v>1979</v>
      </c>
      <c r="C721" t="s">
        <v>518</v>
      </c>
      <c r="D721" t="s">
        <v>1202</v>
      </c>
      <c r="E721" t="s">
        <v>1203</v>
      </c>
      <c r="F721">
        <v>920</v>
      </c>
      <c r="G721" t="s">
        <v>2453</v>
      </c>
      <c r="H721" t="s">
        <v>1608</v>
      </c>
      <c r="I721" t="s">
        <v>1973</v>
      </c>
      <c r="J721" t="s">
        <v>2354</v>
      </c>
    </row>
    <row r="722" spans="2:10" x14ac:dyDescent="0.25">
      <c r="B722" t="s">
        <v>1979</v>
      </c>
      <c r="C722" t="s">
        <v>8</v>
      </c>
      <c r="D722" t="s">
        <v>1340</v>
      </c>
      <c r="E722" t="s">
        <v>1341</v>
      </c>
      <c r="F722">
        <v>120</v>
      </c>
      <c r="G722" t="s">
        <v>2454</v>
      </c>
      <c r="H722" t="s">
        <v>1622</v>
      </c>
      <c r="I722" t="s">
        <v>1973</v>
      </c>
      <c r="J722" t="s">
        <v>2354</v>
      </c>
    </row>
    <row r="723" spans="2:10" x14ac:dyDescent="0.25">
      <c r="B723" t="s">
        <v>1979</v>
      </c>
      <c r="C723" t="s">
        <v>161</v>
      </c>
      <c r="D723" t="s">
        <v>1336</v>
      </c>
      <c r="E723" t="s">
        <v>1337</v>
      </c>
      <c r="F723">
        <v>420</v>
      </c>
      <c r="G723" t="s">
        <v>2453</v>
      </c>
      <c r="H723" t="s">
        <v>1608</v>
      </c>
      <c r="I723" t="s">
        <v>1973</v>
      </c>
      <c r="J723" t="s">
        <v>2354</v>
      </c>
    </row>
    <row r="724" spans="2:10" x14ac:dyDescent="0.25">
      <c r="B724" t="s">
        <v>1979</v>
      </c>
      <c r="C724" t="s">
        <v>8</v>
      </c>
      <c r="D724" t="s">
        <v>605</v>
      </c>
      <c r="E724" t="s">
        <v>606</v>
      </c>
      <c r="F724">
        <v>100</v>
      </c>
      <c r="G724" t="s">
        <v>2454</v>
      </c>
      <c r="H724" t="s">
        <v>1622</v>
      </c>
      <c r="I724" t="s">
        <v>1973</v>
      </c>
      <c r="J724" t="s">
        <v>2354</v>
      </c>
    </row>
    <row r="725" spans="2:10" x14ac:dyDescent="0.25">
      <c r="B725" t="s">
        <v>1979</v>
      </c>
      <c r="C725" t="s">
        <v>352</v>
      </c>
      <c r="D725" t="s">
        <v>1320</v>
      </c>
      <c r="E725" t="s">
        <v>1321</v>
      </c>
      <c r="F725">
        <v>40</v>
      </c>
      <c r="G725" t="s">
        <v>2453</v>
      </c>
      <c r="H725" t="s">
        <v>1608</v>
      </c>
      <c r="I725" t="s">
        <v>1973</v>
      </c>
      <c r="J725" t="s">
        <v>2354</v>
      </c>
    </row>
    <row r="726" spans="2:10" x14ac:dyDescent="0.25">
      <c r="B726" t="s">
        <v>1979</v>
      </c>
      <c r="C726" t="s">
        <v>352</v>
      </c>
      <c r="D726" t="s">
        <v>1065</v>
      </c>
      <c r="E726" t="s">
        <v>1066</v>
      </c>
      <c r="F726">
        <v>24</v>
      </c>
      <c r="G726" t="s">
        <v>2453</v>
      </c>
      <c r="H726" t="s">
        <v>1608</v>
      </c>
      <c r="I726" t="s">
        <v>1973</v>
      </c>
      <c r="J726" t="s">
        <v>2354</v>
      </c>
    </row>
    <row r="727" spans="2:10" x14ac:dyDescent="0.25">
      <c r="B727" t="s">
        <v>1979</v>
      </c>
      <c r="C727" t="s">
        <v>585</v>
      </c>
      <c r="D727" t="s">
        <v>594</v>
      </c>
      <c r="E727" t="s">
        <v>595</v>
      </c>
      <c r="F727">
        <v>43</v>
      </c>
      <c r="G727" t="s">
        <v>2453</v>
      </c>
      <c r="H727" t="s">
        <v>1608</v>
      </c>
      <c r="I727" t="s">
        <v>1973</v>
      </c>
      <c r="J727" t="s">
        <v>2354</v>
      </c>
    </row>
    <row r="728" spans="2:10" x14ac:dyDescent="0.25">
      <c r="B728" t="s">
        <v>1979</v>
      </c>
      <c r="C728" t="s">
        <v>585</v>
      </c>
      <c r="D728" t="s">
        <v>594</v>
      </c>
      <c r="E728" t="s">
        <v>595</v>
      </c>
      <c r="F728">
        <v>17</v>
      </c>
      <c r="G728" t="s">
        <v>2453</v>
      </c>
      <c r="H728" t="s">
        <v>1608</v>
      </c>
      <c r="I728" t="s">
        <v>1973</v>
      </c>
      <c r="J728" t="s">
        <v>2354</v>
      </c>
    </row>
    <row r="729" spans="2:10" x14ac:dyDescent="0.25">
      <c r="B729" t="s">
        <v>1979</v>
      </c>
      <c r="C729" t="s">
        <v>120</v>
      </c>
      <c r="D729" t="s">
        <v>1014</v>
      </c>
      <c r="E729" t="s">
        <v>1015</v>
      </c>
      <c r="F729">
        <v>24</v>
      </c>
      <c r="G729" t="s">
        <v>2454</v>
      </c>
      <c r="H729" t="s">
        <v>1622</v>
      </c>
      <c r="I729" t="s">
        <v>1973</v>
      </c>
      <c r="J729" t="s">
        <v>2354</v>
      </c>
    </row>
    <row r="730" spans="2:10" x14ac:dyDescent="0.25">
      <c r="B730" t="s">
        <v>1979</v>
      </c>
      <c r="C730" t="s">
        <v>120</v>
      </c>
      <c r="D730" t="s">
        <v>834</v>
      </c>
      <c r="E730" t="s">
        <v>835</v>
      </c>
      <c r="F730">
        <v>40</v>
      </c>
      <c r="G730" t="s">
        <v>2454</v>
      </c>
      <c r="H730" t="s">
        <v>1622</v>
      </c>
      <c r="I730" t="s">
        <v>1973</v>
      </c>
      <c r="J730" t="s">
        <v>2354</v>
      </c>
    </row>
    <row r="731" spans="2:10" x14ac:dyDescent="0.25">
      <c r="B731" t="s">
        <v>1979</v>
      </c>
      <c r="C731" t="s">
        <v>20</v>
      </c>
      <c r="D731" t="s">
        <v>459</v>
      </c>
      <c r="E731" t="s">
        <v>460</v>
      </c>
      <c r="F731">
        <v>120</v>
      </c>
      <c r="G731" t="s">
        <v>2455</v>
      </c>
      <c r="H731" t="s">
        <v>1646</v>
      </c>
      <c r="I731" t="s">
        <v>2246</v>
      </c>
      <c r="J731" t="s">
        <v>2354</v>
      </c>
    </row>
    <row r="732" spans="2:10" x14ac:dyDescent="0.25">
      <c r="B732" t="s">
        <v>1979</v>
      </c>
      <c r="C732" t="s">
        <v>25</v>
      </c>
      <c r="D732" t="s">
        <v>470</v>
      </c>
      <c r="E732" t="s">
        <v>471</v>
      </c>
      <c r="F732">
        <v>480</v>
      </c>
      <c r="G732" t="s">
        <v>2456</v>
      </c>
      <c r="H732" t="s">
        <v>1712</v>
      </c>
      <c r="I732" t="s">
        <v>2246</v>
      </c>
      <c r="J732" t="s">
        <v>2354</v>
      </c>
    </row>
    <row r="733" spans="2:10" x14ac:dyDescent="0.25">
      <c r="B733" t="s">
        <v>1979</v>
      </c>
      <c r="C733" t="s">
        <v>40</v>
      </c>
      <c r="D733" t="s">
        <v>41</v>
      </c>
      <c r="E733" t="s">
        <v>42</v>
      </c>
      <c r="F733">
        <v>120</v>
      </c>
      <c r="G733" t="s">
        <v>2456</v>
      </c>
      <c r="H733" t="s">
        <v>1712</v>
      </c>
      <c r="I733" t="s">
        <v>2246</v>
      </c>
      <c r="J733" t="s">
        <v>2354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8"/>
  <sheetViews>
    <sheetView workbookViewId="0">
      <selection activeCell="B3" sqref="B3:H12"/>
    </sheetView>
  </sheetViews>
  <sheetFormatPr defaultRowHeight="15" x14ac:dyDescent="0.25"/>
  <cols>
    <col min="2" max="2" width="7.42578125" bestFit="1" customWidth="1"/>
    <col min="3" max="3" width="16.7109375" bestFit="1" customWidth="1"/>
    <col min="4" max="4" width="14" customWidth="1"/>
    <col min="5" max="5" width="29.42578125" customWidth="1"/>
    <col min="6" max="6" width="10.5703125" bestFit="1" customWidth="1"/>
    <col min="7" max="7" width="10" bestFit="1" customWidth="1"/>
    <col min="8" max="8" width="11.42578125" bestFit="1" customWidth="1"/>
    <col min="9" max="9" width="5.7109375" bestFit="1" customWidth="1"/>
    <col min="10" max="10" width="7.28515625" bestFit="1" customWidth="1"/>
  </cols>
  <sheetData>
    <row r="2" spans="2:10" x14ac:dyDescent="0.25">
      <c r="B2" t="s">
        <v>1974</v>
      </c>
      <c r="C2" t="s">
        <v>4</v>
      </c>
      <c r="D2" t="s">
        <v>5</v>
      </c>
      <c r="E2" t="s">
        <v>6</v>
      </c>
      <c r="F2" t="s">
        <v>1975</v>
      </c>
      <c r="G2" t="s">
        <v>1976</v>
      </c>
      <c r="H2" t="s">
        <v>1977</v>
      </c>
      <c r="I2" t="s">
        <v>1978</v>
      </c>
      <c r="J2" t="s">
        <v>2230</v>
      </c>
    </row>
    <row r="3" spans="2:10" x14ac:dyDescent="0.25">
      <c r="B3" t="s">
        <v>2461</v>
      </c>
      <c r="C3" t="s">
        <v>49</v>
      </c>
      <c r="D3" t="s">
        <v>1008</v>
      </c>
      <c r="E3" t="s">
        <v>1009</v>
      </c>
      <c r="F3">
        <v>2360</v>
      </c>
      <c r="G3" t="s">
        <v>2505</v>
      </c>
      <c r="H3" t="s">
        <v>1773</v>
      </c>
      <c r="I3" t="s">
        <v>1971</v>
      </c>
      <c r="J3" t="s">
        <v>2247</v>
      </c>
    </row>
    <row r="4" spans="2:10" x14ac:dyDescent="0.25">
      <c r="B4" t="s">
        <v>2461</v>
      </c>
      <c r="C4" t="s">
        <v>49</v>
      </c>
      <c r="D4" t="s">
        <v>1008</v>
      </c>
      <c r="E4" t="s">
        <v>1009</v>
      </c>
      <c r="F4">
        <v>1980</v>
      </c>
      <c r="G4" t="s">
        <v>2505</v>
      </c>
      <c r="H4" t="s">
        <v>1773</v>
      </c>
      <c r="I4" t="s">
        <v>1971</v>
      </c>
      <c r="J4" t="s">
        <v>2247</v>
      </c>
    </row>
    <row r="5" spans="2:10" x14ac:dyDescent="0.25">
      <c r="B5" t="s">
        <v>2461</v>
      </c>
      <c r="C5" t="s">
        <v>261</v>
      </c>
      <c r="D5" t="s">
        <v>892</v>
      </c>
      <c r="E5" t="s">
        <v>893</v>
      </c>
      <c r="F5">
        <v>1140</v>
      </c>
      <c r="G5" t="s">
        <v>2506</v>
      </c>
      <c r="H5" t="s">
        <v>1767</v>
      </c>
      <c r="I5" t="s">
        <v>1971</v>
      </c>
      <c r="J5" t="s">
        <v>2247</v>
      </c>
    </row>
    <row r="6" spans="2:10" x14ac:dyDescent="0.25">
      <c r="B6" t="s">
        <v>2461</v>
      </c>
      <c r="C6" t="s">
        <v>261</v>
      </c>
      <c r="D6" t="s">
        <v>892</v>
      </c>
      <c r="E6" t="s">
        <v>893</v>
      </c>
      <c r="F6">
        <v>1000</v>
      </c>
      <c r="G6" t="s">
        <v>2507</v>
      </c>
      <c r="H6" t="s">
        <v>1773</v>
      </c>
      <c r="I6" t="s">
        <v>1971</v>
      </c>
      <c r="J6" t="s">
        <v>2247</v>
      </c>
    </row>
    <row r="7" spans="2:10" x14ac:dyDescent="0.25">
      <c r="B7" t="s">
        <v>2461</v>
      </c>
      <c r="C7" t="s">
        <v>261</v>
      </c>
      <c r="D7" t="s">
        <v>892</v>
      </c>
      <c r="E7" t="s">
        <v>893</v>
      </c>
      <c r="F7">
        <v>840</v>
      </c>
      <c r="G7" t="s">
        <v>2507</v>
      </c>
      <c r="H7" t="s">
        <v>1773</v>
      </c>
      <c r="I7" t="s">
        <v>1971</v>
      </c>
      <c r="J7" t="s">
        <v>2247</v>
      </c>
    </row>
    <row r="8" spans="2:10" x14ac:dyDescent="0.25">
      <c r="B8" t="s">
        <v>2461</v>
      </c>
      <c r="C8" t="s">
        <v>261</v>
      </c>
      <c r="D8" t="s">
        <v>892</v>
      </c>
      <c r="E8" t="s">
        <v>893</v>
      </c>
      <c r="F8">
        <v>560</v>
      </c>
      <c r="G8" t="s">
        <v>2505</v>
      </c>
      <c r="H8" t="s">
        <v>1773</v>
      </c>
      <c r="I8" t="s">
        <v>1971</v>
      </c>
      <c r="J8" t="s">
        <v>2247</v>
      </c>
    </row>
    <row r="9" spans="2:10" x14ac:dyDescent="0.25">
      <c r="B9" t="s">
        <v>2461</v>
      </c>
      <c r="C9" t="s">
        <v>261</v>
      </c>
      <c r="D9" t="s">
        <v>264</v>
      </c>
      <c r="E9" t="s">
        <v>265</v>
      </c>
      <c r="F9">
        <v>336</v>
      </c>
      <c r="G9" t="s">
        <v>2507</v>
      </c>
      <c r="H9" t="s">
        <v>1773</v>
      </c>
      <c r="I9" t="s">
        <v>1971</v>
      </c>
      <c r="J9" t="s">
        <v>2247</v>
      </c>
    </row>
    <row r="10" spans="2:10" x14ac:dyDescent="0.25">
      <c r="B10" t="s">
        <v>2461</v>
      </c>
      <c r="C10" t="s">
        <v>261</v>
      </c>
      <c r="D10" t="s">
        <v>892</v>
      </c>
      <c r="E10" t="s">
        <v>893</v>
      </c>
      <c r="F10">
        <v>1280</v>
      </c>
      <c r="G10" t="s">
        <v>2506</v>
      </c>
      <c r="H10" t="s">
        <v>1767</v>
      </c>
      <c r="I10" t="s">
        <v>1971</v>
      </c>
      <c r="J10" t="s">
        <v>2247</v>
      </c>
    </row>
    <row r="11" spans="2:10" x14ac:dyDescent="0.25">
      <c r="B11" t="s">
        <v>2461</v>
      </c>
      <c r="C11" t="s">
        <v>261</v>
      </c>
      <c r="D11" t="s">
        <v>892</v>
      </c>
      <c r="E11" t="s">
        <v>893</v>
      </c>
      <c r="F11">
        <v>1440</v>
      </c>
      <c r="G11" t="s">
        <v>2506</v>
      </c>
      <c r="H11" t="s">
        <v>1767</v>
      </c>
      <c r="I11" t="s">
        <v>1971</v>
      </c>
      <c r="J11" t="s">
        <v>2247</v>
      </c>
    </row>
    <row r="12" spans="2:10" x14ac:dyDescent="0.25">
      <c r="B12" t="s">
        <v>2461</v>
      </c>
      <c r="C12" t="s">
        <v>49</v>
      </c>
      <c r="D12" t="s">
        <v>322</v>
      </c>
      <c r="E12" t="s">
        <v>323</v>
      </c>
      <c r="F12">
        <v>280</v>
      </c>
      <c r="G12" t="s">
        <v>2508</v>
      </c>
      <c r="H12" t="s">
        <v>1681</v>
      </c>
      <c r="I12" t="s">
        <v>1971</v>
      </c>
      <c r="J12" t="s">
        <v>2247</v>
      </c>
    </row>
    <row r="13" spans="2:10" x14ac:dyDescent="0.25">
      <c r="B13" t="s">
        <v>2461</v>
      </c>
      <c r="C13" t="s">
        <v>49</v>
      </c>
      <c r="D13" t="s">
        <v>322</v>
      </c>
      <c r="E13" t="s">
        <v>323</v>
      </c>
      <c r="F13">
        <v>140</v>
      </c>
      <c r="G13" t="s">
        <v>2508</v>
      </c>
      <c r="H13" t="s">
        <v>1681</v>
      </c>
      <c r="I13" t="s">
        <v>1971</v>
      </c>
      <c r="J13" t="s">
        <v>2247</v>
      </c>
    </row>
    <row r="14" spans="2:10" x14ac:dyDescent="0.25">
      <c r="B14" t="s">
        <v>2461</v>
      </c>
      <c r="C14" t="s">
        <v>49</v>
      </c>
      <c r="D14" t="s">
        <v>322</v>
      </c>
      <c r="E14" t="s">
        <v>323</v>
      </c>
      <c r="F14">
        <v>340</v>
      </c>
      <c r="G14" t="s">
        <v>2508</v>
      </c>
      <c r="H14" t="s">
        <v>1681</v>
      </c>
      <c r="I14" t="s">
        <v>1971</v>
      </c>
      <c r="J14" t="s">
        <v>2247</v>
      </c>
    </row>
    <row r="15" spans="2:10" x14ac:dyDescent="0.25">
      <c r="B15" t="s">
        <v>2461</v>
      </c>
      <c r="C15" t="s">
        <v>49</v>
      </c>
      <c r="D15" t="s">
        <v>322</v>
      </c>
      <c r="E15" t="s">
        <v>323</v>
      </c>
      <c r="F15">
        <v>2060</v>
      </c>
      <c r="G15" t="s">
        <v>2508</v>
      </c>
      <c r="H15" t="s">
        <v>1681</v>
      </c>
      <c r="I15" t="s">
        <v>1971</v>
      </c>
      <c r="J15" t="s">
        <v>2247</v>
      </c>
    </row>
    <row r="16" spans="2:10" x14ac:dyDescent="0.25">
      <c r="B16" t="s">
        <v>2461</v>
      </c>
      <c r="C16" t="s">
        <v>261</v>
      </c>
      <c r="D16" t="s">
        <v>892</v>
      </c>
      <c r="E16" t="s">
        <v>893</v>
      </c>
      <c r="F16">
        <v>860</v>
      </c>
      <c r="G16" t="s">
        <v>2505</v>
      </c>
      <c r="H16" t="s">
        <v>1773</v>
      </c>
      <c r="I16" t="s">
        <v>1971</v>
      </c>
      <c r="J16" t="s">
        <v>2247</v>
      </c>
    </row>
    <row r="17" spans="2:10" x14ac:dyDescent="0.25">
      <c r="B17" t="s">
        <v>2461</v>
      </c>
      <c r="C17" t="s">
        <v>49</v>
      </c>
      <c r="D17" t="s">
        <v>1008</v>
      </c>
      <c r="E17" t="s">
        <v>1009</v>
      </c>
      <c r="F17">
        <v>3300</v>
      </c>
      <c r="G17" t="s">
        <v>2507</v>
      </c>
      <c r="H17" t="s">
        <v>1773</v>
      </c>
      <c r="I17" t="s">
        <v>1971</v>
      </c>
      <c r="J17" t="s">
        <v>2247</v>
      </c>
    </row>
    <row r="18" spans="2:10" x14ac:dyDescent="0.25">
      <c r="B18" t="s">
        <v>2461</v>
      </c>
      <c r="C18" t="s">
        <v>261</v>
      </c>
      <c r="D18" t="s">
        <v>264</v>
      </c>
      <c r="E18" t="s">
        <v>265</v>
      </c>
      <c r="F18">
        <v>1320</v>
      </c>
      <c r="G18" t="s">
        <v>2505</v>
      </c>
      <c r="H18" t="s">
        <v>1773</v>
      </c>
      <c r="I18" t="s">
        <v>1971</v>
      </c>
      <c r="J18" t="s">
        <v>2247</v>
      </c>
    </row>
    <row r="19" spans="2:10" x14ac:dyDescent="0.25">
      <c r="B19" t="s">
        <v>2461</v>
      </c>
      <c r="C19" t="s">
        <v>261</v>
      </c>
      <c r="D19" t="s">
        <v>264</v>
      </c>
      <c r="E19" t="s">
        <v>265</v>
      </c>
      <c r="F19">
        <v>1080</v>
      </c>
      <c r="G19" t="s">
        <v>2505</v>
      </c>
      <c r="H19" t="s">
        <v>1773</v>
      </c>
      <c r="I19" t="s">
        <v>1971</v>
      </c>
      <c r="J19" t="s">
        <v>2247</v>
      </c>
    </row>
    <row r="20" spans="2:10" x14ac:dyDescent="0.25">
      <c r="B20" t="s">
        <v>2461</v>
      </c>
      <c r="C20" t="s">
        <v>261</v>
      </c>
      <c r="D20" t="s">
        <v>264</v>
      </c>
      <c r="E20" t="s">
        <v>265</v>
      </c>
      <c r="F20">
        <v>636</v>
      </c>
      <c r="G20" t="s">
        <v>2505</v>
      </c>
      <c r="H20" t="s">
        <v>1773</v>
      </c>
      <c r="I20" t="s">
        <v>1971</v>
      </c>
      <c r="J20" t="s">
        <v>2247</v>
      </c>
    </row>
    <row r="21" spans="2:10" x14ac:dyDescent="0.25">
      <c r="B21" t="s">
        <v>2461</v>
      </c>
      <c r="C21" t="s">
        <v>261</v>
      </c>
      <c r="D21" t="s">
        <v>892</v>
      </c>
      <c r="E21" t="s">
        <v>893</v>
      </c>
      <c r="F21">
        <v>1640</v>
      </c>
      <c r="G21" t="s">
        <v>2506</v>
      </c>
      <c r="H21" t="s">
        <v>1767</v>
      </c>
      <c r="I21" t="s">
        <v>1971</v>
      </c>
      <c r="J21" t="s">
        <v>2247</v>
      </c>
    </row>
    <row r="22" spans="2:10" x14ac:dyDescent="0.25">
      <c r="B22" t="s">
        <v>2461</v>
      </c>
      <c r="C22" t="s">
        <v>217</v>
      </c>
      <c r="D22" t="s">
        <v>972</v>
      </c>
      <c r="E22" t="s">
        <v>973</v>
      </c>
      <c r="F22">
        <v>60</v>
      </c>
      <c r="G22" t="s">
        <v>2509</v>
      </c>
      <c r="H22" t="s">
        <v>1815</v>
      </c>
      <c r="I22" t="s">
        <v>1971</v>
      </c>
      <c r="J22" t="s">
        <v>2247</v>
      </c>
    </row>
    <row r="23" spans="2:10" x14ac:dyDescent="0.25">
      <c r="B23" t="s">
        <v>2461</v>
      </c>
      <c r="C23" t="s">
        <v>763</v>
      </c>
      <c r="D23" t="s">
        <v>1210</v>
      </c>
      <c r="E23" t="s">
        <v>1211</v>
      </c>
      <c r="F23">
        <v>20</v>
      </c>
      <c r="G23" t="s">
        <v>2510</v>
      </c>
      <c r="H23" t="s">
        <v>1815</v>
      </c>
      <c r="I23" t="s">
        <v>1971</v>
      </c>
      <c r="J23" t="s">
        <v>2247</v>
      </c>
    </row>
    <row r="24" spans="2:10" x14ac:dyDescent="0.25">
      <c r="B24" t="s">
        <v>2461</v>
      </c>
      <c r="C24" t="s">
        <v>763</v>
      </c>
      <c r="D24" t="s">
        <v>1210</v>
      </c>
      <c r="E24" t="s">
        <v>1211</v>
      </c>
      <c r="F24">
        <v>80</v>
      </c>
      <c r="G24" t="s">
        <v>2510</v>
      </c>
      <c r="H24" t="s">
        <v>1815</v>
      </c>
      <c r="I24" t="s">
        <v>1971</v>
      </c>
      <c r="J24" t="s">
        <v>2247</v>
      </c>
    </row>
    <row r="25" spans="2:10" x14ac:dyDescent="0.25">
      <c r="B25" t="s">
        <v>2461</v>
      </c>
      <c r="C25" t="s">
        <v>8</v>
      </c>
      <c r="D25" t="s">
        <v>171</v>
      </c>
      <c r="E25" t="s">
        <v>172</v>
      </c>
      <c r="F25">
        <v>8</v>
      </c>
      <c r="G25" t="s">
        <v>2509</v>
      </c>
      <c r="H25" t="s">
        <v>1815</v>
      </c>
      <c r="I25" t="s">
        <v>1971</v>
      </c>
      <c r="J25" t="s">
        <v>2247</v>
      </c>
    </row>
    <row r="26" spans="2:10" x14ac:dyDescent="0.25">
      <c r="B26" t="s">
        <v>2461</v>
      </c>
      <c r="C26" t="s">
        <v>11</v>
      </c>
      <c r="D26" t="s">
        <v>1326</v>
      </c>
      <c r="E26" t="s">
        <v>1327</v>
      </c>
      <c r="F26">
        <v>100</v>
      </c>
      <c r="G26" t="s">
        <v>2511</v>
      </c>
      <c r="H26" t="s">
        <v>1773</v>
      </c>
      <c r="I26" t="s">
        <v>1971</v>
      </c>
      <c r="J26" t="s">
        <v>2247</v>
      </c>
    </row>
    <row r="27" spans="2:10" x14ac:dyDescent="0.25">
      <c r="B27" t="s">
        <v>2461</v>
      </c>
      <c r="C27" t="s">
        <v>712</v>
      </c>
      <c r="D27" t="s">
        <v>713</v>
      </c>
      <c r="E27" t="s">
        <v>714</v>
      </c>
      <c r="F27">
        <v>300</v>
      </c>
      <c r="G27" t="s">
        <v>2512</v>
      </c>
      <c r="H27" t="s">
        <v>1610</v>
      </c>
      <c r="I27" t="s">
        <v>1971</v>
      </c>
      <c r="J27" t="s">
        <v>2247</v>
      </c>
    </row>
    <row r="28" spans="2:10" x14ac:dyDescent="0.25">
      <c r="B28" t="s">
        <v>2461</v>
      </c>
      <c r="C28" t="s">
        <v>80</v>
      </c>
      <c r="D28" t="s">
        <v>572</v>
      </c>
      <c r="E28" t="s">
        <v>573</v>
      </c>
      <c r="F28">
        <v>360</v>
      </c>
      <c r="G28" t="s">
        <v>2513</v>
      </c>
      <c r="H28" t="s">
        <v>1654</v>
      </c>
      <c r="I28" t="s">
        <v>1971</v>
      </c>
      <c r="J28" t="s">
        <v>2247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"/>
  <sheetViews>
    <sheetView workbookViewId="0">
      <selection activeCell="D3" sqref="D3"/>
    </sheetView>
  </sheetViews>
  <sheetFormatPr defaultRowHeight="15" x14ac:dyDescent="0.25"/>
  <cols>
    <col min="2" max="2" width="7.42578125" bestFit="1" customWidth="1"/>
    <col min="3" max="3" width="12" bestFit="1" customWidth="1"/>
    <col min="4" max="4" width="12.140625" bestFit="1" customWidth="1"/>
    <col min="5" max="5" width="13.28515625" bestFit="1" customWidth="1"/>
    <col min="6" max="6" width="10.5703125" bestFit="1" customWidth="1"/>
    <col min="7" max="7" width="7.140625" bestFit="1" customWidth="1"/>
    <col min="8" max="8" width="11.42578125" bestFit="1" customWidth="1"/>
    <col min="9" max="9" width="5.7109375" bestFit="1" customWidth="1"/>
    <col min="10" max="10" width="7.28515625" bestFit="1" customWidth="1"/>
  </cols>
  <sheetData>
    <row r="2" spans="2:10" x14ac:dyDescent="0.25">
      <c r="B2" t="s">
        <v>1974</v>
      </c>
      <c r="C2" t="s">
        <v>4</v>
      </c>
      <c r="D2" t="s">
        <v>5</v>
      </c>
      <c r="E2" t="s">
        <v>6</v>
      </c>
      <c r="F2" t="s">
        <v>1975</v>
      </c>
      <c r="G2" t="s">
        <v>1976</v>
      </c>
      <c r="H2" t="s">
        <v>1977</v>
      </c>
      <c r="I2" t="s">
        <v>1978</v>
      </c>
      <c r="J2" t="s">
        <v>2230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8"/>
  <sheetViews>
    <sheetView workbookViewId="0">
      <selection activeCell="B3" sqref="B3:J12"/>
    </sheetView>
  </sheetViews>
  <sheetFormatPr defaultRowHeight="15" x14ac:dyDescent="0.25"/>
  <cols>
    <col min="2" max="2" width="7.42578125" bestFit="1" customWidth="1"/>
    <col min="3" max="3" width="16.7109375" bestFit="1" customWidth="1"/>
    <col min="4" max="4" width="14.42578125" bestFit="1" customWidth="1"/>
    <col min="5" max="5" width="31.42578125" bestFit="1" customWidth="1"/>
    <col min="6" max="6" width="10.5703125" bestFit="1" customWidth="1"/>
    <col min="7" max="7" width="10" bestFit="1" customWidth="1"/>
    <col min="8" max="8" width="11.42578125" bestFit="1" customWidth="1"/>
    <col min="9" max="9" width="5.7109375" bestFit="1" customWidth="1"/>
    <col min="10" max="10" width="7.28515625" bestFit="1" customWidth="1"/>
  </cols>
  <sheetData>
    <row r="2" spans="2:10" x14ac:dyDescent="0.25">
      <c r="B2" t="s">
        <v>1974</v>
      </c>
      <c r="C2" t="s">
        <v>4</v>
      </c>
      <c r="D2" t="s">
        <v>5</v>
      </c>
      <c r="E2" t="s">
        <v>6</v>
      </c>
      <c r="F2" t="s">
        <v>1975</v>
      </c>
      <c r="G2" t="s">
        <v>1976</v>
      </c>
      <c r="H2" t="s">
        <v>1977</v>
      </c>
      <c r="I2" t="s">
        <v>1978</v>
      </c>
      <c r="J2" t="s">
        <v>2230</v>
      </c>
    </row>
    <row r="3" spans="2:10" x14ac:dyDescent="0.25">
      <c r="B3" t="s">
        <v>2461</v>
      </c>
      <c r="C3" t="s">
        <v>61</v>
      </c>
      <c r="D3" t="s">
        <v>231</v>
      </c>
      <c r="E3" t="s">
        <v>232</v>
      </c>
      <c r="F3">
        <v>40</v>
      </c>
      <c r="G3" t="s">
        <v>2462</v>
      </c>
      <c r="H3" t="s">
        <v>1605</v>
      </c>
      <c r="I3" t="s">
        <v>2246</v>
      </c>
      <c r="J3" t="s">
        <v>2247</v>
      </c>
    </row>
    <row r="4" spans="2:10" x14ac:dyDescent="0.25">
      <c r="B4" t="s">
        <v>2461</v>
      </c>
      <c r="C4" t="s">
        <v>120</v>
      </c>
      <c r="D4" t="s">
        <v>540</v>
      </c>
      <c r="E4" t="s">
        <v>541</v>
      </c>
      <c r="F4">
        <v>100</v>
      </c>
      <c r="G4" t="s">
        <v>2463</v>
      </c>
      <c r="H4" t="s">
        <v>1605</v>
      </c>
      <c r="I4" t="s">
        <v>2284</v>
      </c>
      <c r="J4" t="s">
        <v>2247</v>
      </c>
    </row>
    <row r="5" spans="2:10" x14ac:dyDescent="0.25">
      <c r="B5" t="s">
        <v>2461</v>
      </c>
      <c r="C5" t="s">
        <v>120</v>
      </c>
      <c r="D5" t="s">
        <v>540</v>
      </c>
      <c r="E5" t="s">
        <v>541</v>
      </c>
      <c r="F5">
        <v>20</v>
      </c>
      <c r="G5" t="s">
        <v>2463</v>
      </c>
      <c r="H5" t="s">
        <v>1605</v>
      </c>
      <c r="I5" t="s">
        <v>2284</v>
      </c>
      <c r="J5" t="s">
        <v>2247</v>
      </c>
    </row>
    <row r="6" spans="2:10" x14ac:dyDescent="0.25">
      <c r="B6" t="s">
        <v>2461</v>
      </c>
      <c r="C6" t="s">
        <v>120</v>
      </c>
      <c r="D6" t="s">
        <v>540</v>
      </c>
      <c r="E6" t="s">
        <v>541</v>
      </c>
      <c r="F6">
        <v>560</v>
      </c>
      <c r="G6" t="s">
        <v>2463</v>
      </c>
      <c r="H6" t="s">
        <v>1605</v>
      </c>
      <c r="I6" t="s">
        <v>2284</v>
      </c>
      <c r="J6" t="s">
        <v>2247</v>
      </c>
    </row>
    <row r="7" spans="2:10" x14ac:dyDescent="0.25">
      <c r="B7" t="s">
        <v>2461</v>
      </c>
      <c r="C7" t="s">
        <v>120</v>
      </c>
      <c r="D7" t="s">
        <v>540</v>
      </c>
      <c r="E7" t="s">
        <v>541</v>
      </c>
      <c r="F7">
        <v>780</v>
      </c>
      <c r="G7" t="s">
        <v>2463</v>
      </c>
      <c r="H7" t="s">
        <v>1605</v>
      </c>
      <c r="I7" t="s">
        <v>2284</v>
      </c>
      <c r="J7" t="s">
        <v>2247</v>
      </c>
    </row>
    <row r="8" spans="2:10" x14ac:dyDescent="0.25">
      <c r="B8" t="s">
        <v>2461</v>
      </c>
      <c r="C8" t="s">
        <v>120</v>
      </c>
      <c r="D8" t="s">
        <v>540</v>
      </c>
      <c r="E8" t="s">
        <v>541</v>
      </c>
      <c r="F8">
        <v>340</v>
      </c>
      <c r="G8" t="s">
        <v>2463</v>
      </c>
      <c r="H8" t="s">
        <v>1605</v>
      </c>
      <c r="I8" t="s">
        <v>2284</v>
      </c>
      <c r="J8" t="s">
        <v>2247</v>
      </c>
    </row>
    <row r="9" spans="2:10" x14ac:dyDescent="0.25">
      <c r="B9" t="s">
        <v>2461</v>
      </c>
      <c r="C9" t="s">
        <v>120</v>
      </c>
      <c r="D9" t="s">
        <v>540</v>
      </c>
      <c r="E9" t="s">
        <v>541</v>
      </c>
      <c r="F9">
        <v>540</v>
      </c>
      <c r="G9" t="s">
        <v>2463</v>
      </c>
      <c r="H9" t="s">
        <v>1605</v>
      </c>
      <c r="I9" t="s">
        <v>2284</v>
      </c>
      <c r="J9" t="s">
        <v>2247</v>
      </c>
    </row>
    <row r="10" spans="2:10" x14ac:dyDescent="0.25">
      <c r="B10" t="s">
        <v>2461</v>
      </c>
      <c r="C10" t="s">
        <v>25</v>
      </c>
      <c r="D10" t="s">
        <v>470</v>
      </c>
      <c r="E10" t="s">
        <v>471</v>
      </c>
      <c r="F10">
        <v>105</v>
      </c>
      <c r="G10" t="s">
        <v>2463</v>
      </c>
      <c r="H10" t="s">
        <v>1605</v>
      </c>
      <c r="I10" t="s">
        <v>2284</v>
      </c>
      <c r="J10" t="s">
        <v>2247</v>
      </c>
    </row>
    <row r="11" spans="2:10" x14ac:dyDescent="0.25">
      <c r="B11" t="s">
        <v>2461</v>
      </c>
      <c r="C11" t="s">
        <v>25</v>
      </c>
      <c r="D11" t="s">
        <v>470</v>
      </c>
      <c r="E11" t="s">
        <v>471</v>
      </c>
      <c r="F11">
        <v>108</v>
      </c>
      <c r="G11" t="s">
        <v>2463</v>
      </c>
      <c r="H11" t="s">
        <v>1605</v>
      </c>
      <c r="I11" t="s">
        <v>2284</v>
      </c>
      <c r="J11" t="s">
        <v>2247</v>
      </c>
    </row>
    <row r="12" spans="2:10" x14ac:dyDescent="0.25">
      <c r="B12" t="s">
        <v>2461</v>
      </c>
      <c r="C12" t="s">
        <v>25</v>
      </c>
      <c r="D12" t="s">
        <v>470</v>
      </c>
      <c r="E12" t="s">
        <v>471</v>
      </c>
      <c r="F12">
        <v>12</v>
      </c>
      <c r="G12" t="s">
        <v>2463</v>
      </c>
      <c r="H12" t="s">
        <v>1605</v>
      </c>
      <c r="I12" t="s">
        <v>2284</v>
      </c>
      <c r="J12" t="s">
        <v>2247</v>
      </c>
    </row>
    <row r="13" spans="2:10" x14ac:dyDescent="0.25">
      <c r="B13" t="s">
        <v>2461</v>
      </c>
      <c r="C13" t="s">
        <v>25</v>
      </c>
      <c r="D13" t="s">
        <v>470</v>
      </c>
      <c r="E13" t="s">
        <v>471</v>
      </c>
      <c r="F13">
        <v>3</v>
      </c>
      <c r="G13" t="s">
        <v>2463</v>
      </c>
      <c r="H13" t="s">
        <v>1605</v>
      </c>
      <c r="I13" t="s">
        <v>2284</v>
      </c>
      <c r="J13" t="s">
        <v>2247</v>
      </c>
    </row>
    <row r="14" spans="2:10" x14ac:dyDescent="0.25">
      <c r="B14" t="s">
        <v>2461</v>
      </c>
      <c r="C14" t="s">
        <v>40</v>
      </c>
      <c r="D14" t="s">
        <v>41</v>
      </c>
      <c r="E14" t="s">
        <v>42</v>
      </c>
      <c r="F14">
        <v>60</v>
      </c>
      <c r="G14" t="s">
        <v>2464</v>
      </c>
      <c r="H14" t="s">
        <v>1775</v>
      </c>
      <c r="I14" t="s">
        <v>1972</v>
      </c>
      <c r="J14" t="s">
        <v>2247</v>
      </c>
    </row>
    <row r="15" spans="2:10" x14ac:dyDescent="0.25">
      <c r="B15" t="s">
        <v>2461</v>
      </c>
      <c r="C15" t="s">
        <v>40</v>
      </c>
      <c r="D15" t="s">
        <v>41</v>
      </c>
      <c r="E15" t="s">
        <v>42</v>
      </c>
      <c r="F15">
        <v>6</v>
      </c>
      <c r="G15" t="s">
        <v>2465</v>
      </c>
      <c r="H15" t="s">
        <v>1663</v>
      </c>
      <c r="I15" t="s">
        <v>1972</v>
      </c>
      <c r="J15" t="s">
        <v>2247</v>
      </c>
    </row>
    <row r="16" spans="2:10" x14ac:dyDescent="0.25">
      <c r="B16" t="s">
        <v>2461</v>
      </c>
      <c r="C16" t="s">
        <v>25</v>
      </c>
      <c r="D16" t="s">
        <v>470</v>
      </c>
      <c r="E16" t="s">
        <v>471</v>
      </c>
      <c r="F16">
        <v>6</v>
      </c>
      <c r="G16" t="s">
        <v>2465</v>
      </c>
      <c r="H16" t="s">
        <v>1663</v>
      </c>
      <c r="I16" t="s">
        <v>1972</v>
      </c>
      <c r="J16" t="s">
        <v>2247</v>
      </c>
    </row>
    <row r="17" spans="2:10" x14ac:dyDescent="0.25">
      <c r="B17" t="s">
        <v>2461</v>
      </c>
      <c r="C17" t="s">
        <v>145</v>
      </c>
      <c r="D17" t="s">
        <v>225</v>
      </c>
      <c r="E17" t="s">
        <v>226</v>
      </c>
      <c r="F17">
        <v>370</v>
      </c>
      <c r="G17" t="s">
        <v>2466</v>
      </c>
      <c r="H17" t="s">
        <v>1751</v>
      </c>
      <c r="I17" t="s">
        <v>2467</v>
      </c>
      <c r="J17" t="s">
        <v>2247</v>
      </c>
    </row>
    <row r="18" spans="2:10" x14ac:dyDescent="0.25">
      <c r="B18" t="s">
        <v>2461</v>
      </c>
      <c r="C18" t="s">
        <v>145</v>
      </c>
      <c r="D18" t="s">
        <v>225</v>
      </c>
      <c r="E18" t="s">
        <v>226</v>
      </c>
      <c r="F18">
        <v>260</v>
      </c>
      <c r="G18" t="s">
        <v>2466</v>
      </c>
      <c r="H18" t="s">
        <v>1751</v>
      </c>
      <c r="I18" t="s">
        <v>2467</v>
      </c>
      <c r="J18" t="s">
        <v>2247</v>
      </c>
    </row>
    <row r="19" spans="2:10" x14ac:dyDescent="0.25">
      <c r="B19" t="s">
        <v>2461</v>
      </c>
      <c r="C19" t="s">
        <v>120</v>
      </c>
      <c r="D19" t="s">
        <v>540</v>
      </c>
      <c r="E19" t="s">
        <v>541</v>
      </c>
      <c r="F19">
        <v>500</v>
      </c>
      <c r="G19" t="s">
        <v>2468</v>
      </c>
      <c r="H19" t="s">
        <v>1806</v>
      </c>
      <c r="I19" t="s">
        <v>2467</v>
      </c>
      <c r="J19" t="s">
        <v>2247</v>
      </c>
    </row>
    <row r="20" spans="2:10" x14ac:dyDescent="0.25">
      <c r="B20" t="s">
        <v>2461</v>
      </c>
      <c r="C20" t="s">
        <v>715</v>
      </c>
      <c r="D20" t="s">
        <v>716</v>
      </c>
      <c r="E20" t="s">
        <v>717</v>
      </c>
      <c r="F20">
        <v>1080</v>
      </c>
      <c r="G20" t="s">
        <v>2469</v>
      </c>
      <c r="H20" t="s">
        <v>1605</v>
      </c>
      <c r="I20" t="s">
        <v>2246</v>
      </c>
      <c r="J20" t="s">
        <v>2247</v>
      </c>
    </row>
    <row r="21" spans="2:10" x14ac:dyDescent="0.25">
      <c r="B21" t="s">
        <v>2461</v>
      </c>
      <c r="C21" t="s">
        <v>20</v>
      </c>
      <c r="D21" t="s">
        <v>459</v>
      </c>
      <c r="E21" t="s">
        <v>460</v>
      </c>
      <c r="F21">
        <v>80</v>
      </c>
      <c r="G21" t="s">
        <v>2470</v>
      </c>
      <c r="H21" t="s">
        <v>1956</v>
      </c>
      <c r="I21" t="s">
        <v>2246</v>
      </c>
      <c r="J21" t="s">
        <v>2247</v>
      </c>
    </row>
    <row r="22" spans="2:10" x14ac:dyDescent="0.25">
      <c r="B22" t="s">
        <v>2461</v>
      </c>
      <c r="C22" t="s">
        <v>20</v>
      </c>
      <c r="D22" t="s">
        <v>459</v>
      </c>
      <c r="E22" t="s">
        <v>460</v>
      </c>
      <c r="F22">
        <v>120</v>
      </c>
      <c r="G22" t="s">
        <v>2471</v>
      </c>
      <c r="H22" t="s">
        <v>1646</v>
      </c>
      <c r="I22" t="s">
        <v>2246</v>
      </c>
      <c r="J22" t="s">
        <v>2247</v>
      </c>
    </row>
    <row r="23" spans="2:10" x14ac:dyDescent="0.25">
      <c r="B23" t="s">
        <v>2461</v>
      </c>
      <c r="C23" t="s">
        <v>148</v>
      </c>
      <c r="D23" t="s">
        <v>544</v>
      </c>
      <c r="E23" t="s">
        <v>545</v>
      </c>
      <c r="F23">
        <v>200</v>
      </c>
      <c r="G23" t="s">
        <v>2472</v>
      </c>
      <c r="H23" t="s">
        <v>1736</v>
      </c>
      <c r="I23" t="s">
        <v>2246</v>
      </c>
      <c r="J23" t="s">
        <v>2247</v>
      </c>
    </row>
    <row r="24" spans="2:10" x14ac:dyDescent="0.25">
      <c r="B24" t="s">
        <v>2461</v>
      </c>
      <c r="C24" t="s">
        <v>145</v>
      </c>
      <c r="D24" t="s">
        <v>146</v>
      </c>
      <c r="E24" t="s">
        <v>147</v>
      </c>
      <c r="F24">
        <v>40</v>
      </c>
      <c r="G24" t="s">
        <v>2473</v>
      </c>
      <c r="H24" t="s">
        <v>1793</v>
      </c>
      <c r="I24" t="s">
        <v>1972</v>
      </c>
      <c r="J24" t="s">
        <v>2247</v>
      </c>
    </row>
    <row r="25" spans="2:10" x14ac:dyDescent="0.25">
      <c r="B25" t="s">
        <v>2461</v>
      </c>
      <c r="C25" t="s">
        <v>715</v>
      </c>
      <c r="D25" t="s">
        <v>716</v>
      </c>
      <c r="E25" t="s">
        <v>717</v>
      </c>
      <c r="F25">
        <v>510</v>
      </c>
      <c r="G25" t="s">
        <v>2474</v>
      </c>
      <c r="H25" t="s">
        <v>1663</v>
      </c>
      <c r="I25" t="s">
        <v>1972</v>
      </c>
      <c r="J25" t="s">
        <v>2247</v>
      </c>
    </row>
    <row r="26" spans="2:10" x14ac:dyDescent="0.25">
      <c r="B26" t="s">
        <v>2461</v>
      </c>
      <c r="C26" t="s">
        <v>20</v>
      </c>
      <c r="D26" t="s">
        <v>459</v>
      </c>
      <c r="E26" t="s">
        <v>460</v>
      </c>
      <c r="F26">
        <v>60</v>
      </c>
      <c r="G26" t="s">
        <v>2475</v>
      </c>
      <c r="H26" t="s">
        <v>1629</v>
      </c>
      <c r="I26" t="s">
        <v>2329</v>
      </c>
      <c r="J26" t="s">
        <v>2247</v>
      </c>
    </row>
    <row r="27" spans="2:10" x14ac:dyDescent="0.25">
      <c r="B27" t="s">
        <v>2461</v>
      </c>
      <c r="C27" t="s">
        <v>20</v>
      </c>
      <c r="D27" t="s">
        <v>459</v>
      </c>
      <c r="E27" t="s">
        <v>460</v>
      </c>
      <c r="F27">
        <v>100</v>
      </c>
      <c r="G27" t="s">
        <v>2475</v>
      </c>
      <c r="H27" t="s">
        <v>1629</v>
      </c>
      <c r="I27" t="s">
        <v>2329</v>
      </c>
      <c r="J27" t="s">
        <v>2247</v>
      </c>
    </row>
    <row r="28" spans="2:10" x14ac:dyDescent="0.25">
      <c r="B28" t="s">
        <v>2461</v>
      </c>
      <c r="C28" t="s">
        <v>623</v>
      </c>
      <c r="D28" t="s">
        <v>871</v>
      </c>
      <c r="E28" t="s">
        <v>872</v>
      </c>
      <c r="F28">
        <v>200</v>
      </c>
      <c r="G28" t="s">
        <v>2475</v>
      </c>
      <c r="H28" t="s">
        <v>1629</v>
      </c>
      <c r="I28" t="s">
        <v>2329</v>
      </c>
      <c r="J28" t="s">
        <v>2247</v>
      </c>
    </row>
    <row r="29" spans="2:10" x14ac:dyDescent="0.25">
      <c r="B29" t="s">
        <v>2461</v>
      </c>
      <c r="C29" t="s">
        <v>120</v>
      </c>
      <c r="D29" t="s">
        <v>540</v>
      </c>
      <c r="E29" t="s">
        <v>541</v>
      </c>
      <c r="F29">
        <v>160</v>
      </c>
      <c r="G29" t="s">
        <v>2476</v>
      </c>
      <c r="H29" t="s">
        <v>1956</v>
      </c>
      <c r="I29" t="s">
        <v>2246</v>
      </c>
      <c r="J29" t="s">
        <v>2247</v>
      </c>
    </row>
    <row r="30" spans="2:10" x14ac:dyDescent="0.25">
      <c r="B30" t="s">
        <v>2461</v>
      </c>
      <c r="C30" t="s">
        <v>25</v>
      </c>
      <c r="D30" t="s">
        <v>470</v>
      </c>
      <c r="E30" t="s">
        <v>471</v>
      </c>
      <c r="F30">
        <v>300</v>
      </c>
      <c r="G30" t="s">
        <v>2477</v>
      </c>
      <c r="H30" t="s">
        <v>2148</v>
      </c>
      <c r="I30" t="s">
        <v>2246</v>
      </c>
      <c r="J30" t="s">
        <v>2247</v>
      </c>
    </row>
    <row r="31" spans="2:10" x14ac:dyDescent="0.25">
      <c r="B31" t="s">
        <v>2461</v>
      </c>
      <c r="C31" t="s">
        <v>25</v>
      </c>
      <c r="D31" t="s">
        <v>470</v>
      </c>
      <c r="E31" t="s">
        <v>471</v>
      </c>
      <c r="F31">
        <v>60</v>
      </c>
      <c r="G31" t="s">
        <v>2476</v>
      </c>
      <c r="H31" t="s">
        <v>1956</v>
      </c>
      <c r="I31" t="s">
        <v>2246</v>
      </c>
      <c r="J31" t="s">
        <v>2247</v>
      </c>
    </row>
    <row r="32" spans="2:10" x14ac:dyDescent="0.25">
      <c r="B32" t="s">
        <v>2461</v>
      </c>
      <c r="C32" t="s">
        <v>25</v>
      </c>
      <c r="D32" t="s">
        <v>470</v>
      </c>
      <c r="E32" t="s">
        <v>471</v>
      </c>
      <c r="F32">
        <v>120</v>
      </c>
      <c r="G32" t="s">
        <v>2478</v>
      </c>
      <c r="H32" t="s">
        <v>1840</v>
      </c>
      <c r="I32" t="s">
        <v>2246</v>
      </c>
      <c r="J32" t="s">
        <v>2247</v>
      </c>
    </row>
    <row r="33" spans="2:10" x14ac:dyDescent="0.25">
      <c r="B33" t="s">
        <v>2461</v>
      </c>
      <c r="C33" t="s">
        <v>25</v>
      </c>
      <c r="D33" t="s">
        <v>470</v>
      </c>
      <c r="E33" t="s">
        <v>471</v>
      </c>
      <c r="F33">
        <v>120</v>
      </c>
      <c r="G33" t="s">
        <v>2479</v>
      </c>
      <c r="H33" t="s">
        <v>1622</v>
      </c>
      <c r="I33" t="s">
        <v>2246</v>
      </c>
      <c r="J33" t="s">
        <v>2247</v>
      </c>
    </row>
    <row r="34" spans="2:10" x14ac:dyDescent="0.25">
      <c r="B34" t="s">
        <v>2461</v>
      </c>
      <c r="C34" t="s">
        <v>25</v>
      </c>
      <c r="D34" t="s">
        <v>470</v>
      </c>
      <c r="E34" t="s">
        <v>471</v>
      </c>
      <c r="F34">
        <v>24</v>
      </c>
      <c r="G34" t="s">
        <v>2480</v>
      </c>
      <c r="H34" t="s">
        <v>1651</v>
      </c>
      <c r="I34" t="s">
        <v>2246</v>
      </c>
      <c r="J34" t="s">
        <v>2247</v>
      </c>
    </row>
    <row r="35" spans="2:10" x14ac:dyDescent="0.25">
      <c r="B35" t="s">
        <v>2461</v>
      </c>
      <c r="C35" t="s">
        <v>25</v>
      </c>
      <c r="D35" t="s">
        <v>470</v>
      </c>
      <c r="E35" t="s">
        <v>471</v>
      </c>
      <c r="F35">
        <v>36</v>
      </c>
      <c r="G35" t="s">
        <v>2481</v>
      </c>
      <c r="H35" t="s">
        <v>1651</v>
      </c>
      <c r="I35" t="s">
        <v>2246</v>
      </c>
      <c r="J35" t="s">
        <v>2247</v>
      </c>
    </row>
    <row r="36" spans="2:10" x14ac:dyDescent="0.25">
      <c r="B36" t="s">
        <v>2461</v>
      </c>
      <c r="C36" t="s">
        <v>8</v>
      </c>
      <c r="D36" t="s">
        <v>605</v>
      </c>
      <c r="E36" t="s">
        <v>606</v>
      </c>
      <c r="F36">
        <v>120</v>
      </c>
      <c r="G36" t="s">
        <v>2476</v>
      </c>
      <c r="H36" t="s">
        <v>1956</v>
      </c>
      <c r="I36" t="s">
        <v>2246</v>
      </c>
      <c r="J36" t="s">
        <v>2247</v>
      </c>
    </row>
    <row r="37" spans="2:10" x14ac:dyDescent="0.25">
      <c r="B37" t="s">
        <v>2461</v>
      </c>
      <c r="C37" t="s">
        <v>11</v>
      </c>
      <c r="D37" t="s">
        <v>1326</v>
      </c>
      <c r="E37" t="s">
        <v>1327</v>
      </c>
      <c r="F37">
        <v>80</v>
      </c>
      <c r="G37" t="s">
        <v>2476</v>
      </c>
      <c r="H37" t="s">
        <v>1956</v>
      </c>
      <c r="I37" t="s">
        <v>2246</v>
      </c>
      <c r="J37" t="s">
        <v>2247</v>
      </c>
    </row>
    <row r="38" spans="2:10" x14ac:dyDescent="0.25">
      <c r="B38" t="s">
        <v>2461</v>
      </c>
      <c r="C38" t="s">
        <v>715</v>
      </c>
      <c r="D38" t="s">
        <v>716</v>
      </c>
      <c r="E38" t="s">
        <v>717</v>
      </c>
      <c r="F38">
        <v>30</v>
      </c>
      <c r="G38" t="s">
        <v>2162</v>
      </c>
      <c r="H38" t="s">
        <v>1815</v>
      </c>
      <c r="I38" t="s">
        <v>2246</v>
      </c>
      <c r="J38" t="s">
        <v>2247</v>
      </c>
    </row>
    <row r="39" spans="2:10" x14ac:dyDescent="0.25">
      <c r="B39" t="s">
        <v>2461</v>
      </c>
      <c r="C39" t="s">
        <v>120</v>
      </c>
      <c r="D39" t="s">
        <v>540</v>
      </c>
      <c r="E39" t="s">
        <v>541</v>
      </c>
      <c r="F39">
        <v>2120</v>
      </c>
      <c r="G39" t="s">
        <v>2482</v>
      </c>
      <c r="H39" t="s">
        <v>1773</v>
      </c>
      <c r="I39" t="s">
        <v>2246</v>
      </c>
      <c r="J39" t="s">
        <v>2247</v>
      </c>
    </row>
    <row r="40" spans="2:10" x14ac:dyDescent="0.25">
      <c r="B40" t="s">
        <v>2461</v>
      </c>
      <c r="C40" t="s">
        <v>20</v>
      </c>
      <c r="D40" t="s">
        <v>459</v>
      </c>
      <c r="E40" t="s">
        <v>460</v>
      </c>
      <c r="F40">
        <v>20</v>
      </c>
      <c r="G40" t="s">
        <v>2162</v>
      </c>
      <c r="H40" t="s">
        <v>1815</v>
      </c>
      <c r="I40" t="s">
        <v>2246</v>
      </c>
      <c r="J40" t="s">
        <v>2247</v>
      </c>
    </row>
    <row r="41" spans="2:10" x14ac:dyDescent="0.25">
      <c r="B41" t="s">
        <v>2461</v>
      </c>
      <c r="C41" t="s">
        <v>8</v>
      </c>
      <c r="D41" t="s">
        <v>605</v>
      </c>
      <c r="E41" t="s">
        <v>606</v>
      </c>
      <c r="F41">
        <v>80</v>
      </c>
      <c r="G41" t="s">
        <v>2162</v>
      </c>
      <c r="H41" t="s">
        <v>1815</v>
      </c>
      <c r="I41" t="s">
        <v>2246</v>
      </c>
      <c r="J41" t="s">
        <v>2247</v>
      </c>
    </row>
    <row r="42" spans="2:10" x14ac:dyDescent="0.25">
      <c r="B42" t="s">
        <v>2461</v>
      </c>
      <c r="C42" t="s">
        <v>83</v>
      </c>
      <c r="D42" t="s">
        <v>993</v>
      </c>
      <c r="E42" t="s">
        <v>994</v>
      </c>
      <c r="F42">
        <v>20</v>
      </c>
      <c r="G42" t="s">
        <v>2162</v>
      </c>
      <c r="H42" t="s">
        <v>1815</v>
      </c>
      <c r="I42" t="s">
        <v>2246</v>
      </c>
      <c r="J42" t="s">
        <v>2247</v>
      </c>
    </row>
    <row r="43" spans="2:10" x14ac:dyDescent="0.25">
      <c r="B43" t="s">
        <v>2461</v>
      </c>
      <c r="C43" t="s">
        <v>705</v>
      </c>
      <c r="D43" t="s">
        <v>1117</v>
      </c>
      <c r="E43" t="s">
        <v>1118</v>
      </c>
      <c r="F43">
        <v>85</v>
      </c>
      <c r="G43" t="s">
        <v>2483</v>
      </c>
      <c r="H43" t="s">
        <v>1867</v>
      </c>
      <c r="I43" t="s">
        <v>2342</v>
      </c>
      <c r="J43" t="s">
        <v>2247</v>
      </c>
    </row>
    <row r="44" spans="2:10" x14ac:dyDescent="0.25">
      <c r="B44" t="s">
        <v>2461</v>
      </c>
      <c r="C44" t="s">
        <v>705</v>
      </c>
      <c r="D44" t="s">
        <v>1117</v>
      </c>
      <c r="E44" t="s">
        <v>1118</v>
      </c>
      <c r="F44">
        <v>100</v>
      </c>
      <c r="G44" t="s">
        <v>2484</v>
      </c>
      <c r="H44" t="s">
        <v>1867</v>
      </c>
      <c r="I44" t="s">
        <v>2342</v>
      </c>
      <c r="J44" t="s">
        <v>2247</v>
      </c>
    </row>
    <row r="45" spans="2:10" x14ac:dyDescent="0.25">
      <c r="B45" t="s">
        <v>2461</v>
      </c>
      <c r="C45" t="s">
        <v>145</v>
      </c>
      <c r="D45" t="s">
        <v>974</v>
      </c>
      <c r="E45" t="s">
        <v>975</v>
      </c>
      <c r="F45">
        <v>52</v>
      </c>
      <c r="G45" t="s">
        <v>2485</v>
      </c>
      <c r="H45" t="s">
        <v>1631</v>
      </c>
      <c r="I45" t="s">
        <v>2297</v>
      </c>
      <c r="J45" t="s">
        <v>2247</v>
      </c>
    </row>
    <row r="46" spans="2:10" x14ac:dyDescent="0.25">
      <c r="B46" t="s">
        <v>2461</v>
      </c>
      <c r="C46" t="s">
        <v>28</v>
      </c>
      <c r="D46" t="s">
        <v>1472</v>
      </c>
      <c r="E46" t="s">
        <v>1473</v>
      </c>
      <c r="F46">
        <v>360</v>
      </c>
      <c r="G46" t="s">
        <v>2486</v>
      </c>
      <c r="H46" t="s">
        <v>1634</v>
      </c>
      <c r="I46" t="s">
        <v>2297</v>
      </c>
      <c r="J46" t="s">
        <v>2247</v>
      </c>
    </row>
    <row r="47" spans="2:10" x14ac:dyDescent="0.25">
      <c r="B47" t="s">
        <v>2461</v>
      </c>
      <c r="C47" t="s">
        <v>272</v>
      </c>
      <c r="D47" t="s">
        <v>273</v>
      </c>
      <c r="E47" t="s">
        <v>274</v>
      </c>
      <c r="F47">
        <v>1</v>
      </c>
      <c r="G47" t="s">
        <v>2487</v>
      </c>
      <c r="H47" t="s">
        <v>1956</v>
      </c>
      <c r="I47" t="s">
        <v>2246</v>
      </c>
      <c r="J47" t="s">
        <v>2247</v>
      </c>
    </row>
    <row r="48" spans="2:10" x14ac:dyDescent="0.25">
      <c r="B48" t="s">
        <v>2461</v>
      </c>
      <c r="C48" t="s">
        <v>31</v>
      </c>
      <c r="D48" t="s">
        <v>580</v>
      </c>
      <c r="E48" t="s">
        <v>581</v>
      </c>
      <c r="F48">
        <v>60</v>
      </c>
      <c r="G48" t="s">
        <v>2488</v>
      </c>
      <c r="H48" t="s">
        <v>1786</v>
      </c>
      <c r="I48" t="s">
        <v>2246</v>
      </c>
      <c r="J48" t="s">
        <v>2247</v>
      </c>
    </row>
    <row r="49" spans="2:10" x14ac:dyDescent="0.25">
      <c r="B49" t="s">
        <v>2461</v>
      </c>
      <c r="C49" t="s">
        <v>25</v>
      </c>
      <c r="D49" t="s">
        <v>470</v>
      </c>
      <c r="E49" t="s">
        <v>471</v>
      </c>
      <c r="F49">
        <v>70</v>
      </c>
      <c r="G49" t="s">
        <v>2489</v>
      </c>
      <c r="H49" t="s">
        <v>1746</v>
      </c>
      <c r="I49" t="s">
        <v>2329</v>
      </c>
      <c r="J49" t="s">
        <v>2247</v>
      </c>
    </row>
    <row r="50" spans="2:10" x14ac:dyDescent="0.25">
      <c r="B50" t="s">
        <v>2461</v>
      </c>
      <c r="C50" t="s">
        <v>25</v>
      </c>
      <c r="D50" t="s">
        <v>470</v>
      </c>
      <c r="E50" t="s">
        <v>471</v>
      </c>
      <c r="F50">
        <v>72</v>
      </c>
      <c r="G50" t="s">
        <v>2490</v>
      </c>
      <c r="H50" t="s">
        <v>1984</v>
      </c>
      <c r="I50" t="s">
        <v>2329</v>
      </c>
      <c r="J50" t="s">
        <v>2247</v>
      </c>
    </row>
    <row r="51" spans="2:10" x14ac:dyDescent="0.25">
      <c r="B51" t="s">
        <v>2461</v>
      </c>
      <c r="C51" t="s">
        <v>25</v>
      </c>
      <c r="D51" t="s">
        <v>470</v>
      </c>
      <c r="E51" t="s">
        <v>471</v>
      </c>
      <c r="F51">
        <v>50</v>
      </c>
      <c r="G51" t="s">
        <v>2491</v>
      </c>
      <c r="H51" t="s">
        <v>1773</v>
      </c>
      <c r="I51" t="s">
        <v>2329</v>
      </c>
      <c r="J51" t="s">
        <v>2247</v>
      </c>
    </row>
    <row r="52" spans="2:10" x14ac:dyDescent="0.25">
      <c r="B52" t="s">
        <v>2461</v>
      </c>
      <c r="C52" t="s">
        <v>25</v>
      </c>
      <c r="D52" t="s">
        <v>470</v>
      </c>
      <c r="E52" t="s">
        <v>471</v>
      </c>
      <c r="F52">
        <v>20</v>
      </c>
      <c r="G52" t="s">
        <v>2492</v>
      </c>
      <c r="H52" t="s">
        <v>1773</v>
      </c>
      <c r="I52" t="s">
        <v>2329</v>
      </c>
      <c r="J52" t="s">
        <v>2247</v>
      </c>
    </row>
    <row r="53" spans="2:10" x14ac:dyDescent="0.25">
      <c r="B53" t="s">
        <v>2461</v>
      </c>
      <c r="C53" t="s">
        <v>715</v>
      </c>
      <c r="D53" t="s">
        <v>716</v>
      </c>
      <c r="E53" t="s">
        <v>717</v>
      </c>
      <c r="F53">
        <v>600</v>
      </c>
      <c r="G53" t="s">
        <v>2493</v>
      </c>
      <c r="H53" t="s">
        <v>1658</v>
      </c>
      <c r="I53" t="s">
        <v>2367</v>
      </c>
      <c r="J53" t="s">
        <v>2247</v>
      </c>
    </row>
    <row r="54" spans="2:10" x14ac:dyDescent="0.25">
      <c r="B54" t="s">
        <v>2461</v>
      </c>
      <c r="C54" t="s">
        <v>715</v>
      </c>
      <c r="D54" t="s">
        <v>716</v>
      </c>
      <c r="E54" t="s">
        <v>717</v>
      </c>
      <c r="F54">
        <v>840</v>
      </c>
      <c r="G54" t="s">
        <v>2494</v>
      </c>
      <c r="H54" t="s">
        <v>1649</v>
      </c>
      <c r="I54" t="s">
        <v>2367</v>
      </c>
      <c r="J54" t="s">
        <v>2247</v>
      </c>
    </row>
    <row r="55" spans="2:10" x14ac:dyDescent="0.25">
      <c r="B55" t="s">
        <v>2461</v>
      </c>
      <c r="C55" t="s">
        <v>25</v>
      </c>
      <c r="D55" t="s">
        <v>470</v>
      </c>
      <c r="E55" t="s">
        <v>471</v>
      </c>
      <c r="F55">
        <v>60</v>
      </c>
      <c r="G55" t="s">
        <v>2495</v>
      </c>
      <c r="H55" t="s">
        <v>1632</v>
      </c>
      <c r="I55" t="s">
        <v>2246</v>
      </c>
      <c r="J55" t="s">
        <v>2247</v>
      </c>
    </row>
    <row r="56" spans="2:10" x14ac:dyDescent="0.25">
      <c r="B56" t="s">
        <v>2461</v>
      </c>
      <c r="C56" t="s">
        <v>598</v>
      </c>
      <c r="D56" t="s">
        <v>599</v>
      </c>
      <c r="E56" t="s">
        <v>600</v>
      </c>
      <c r="F56">
        <v>100</v>
      </c>
      <c r="G56" t="s">
        <v>2448</v>
      </c>
      <c r="H56" t="s">
        <v>1605</v>
      </c>
      <c r="I56" t="s">
        <v>2367</v>
      </c>
      <c r="J56" t="s">
        <v>2247</v>
      </c>
    </row>
    <row r="57" spans="2:10" x14ac:dyDescent="0.25">
      <c r="B57" t="s">
        <v>2461</v>
      </c>
      <c r="C57" t="s">
        <v>31</v>
      </c>
      <c r="D57" t="s">
        <v>580</v>
      </c>
      <c r="E57" t="s">
        <v>581</v>
      </c>
      <c r="F57">
        <v>9180</v>
      </c>
      <c r="G57" t="s">
        <v>2496</v>
      </c>
      <c r="H57" t="s">
        <v>1739</v>
      </c>
      <c r="I57" t="s">
        <v>2246</v>
      </c>
      <c r="J57" t="s">
        <v>2247</v>
      </c>
    </row>
    <row r="58" spans="2:10" x14ac:dyDescent="0.25">
      <c r="B58" t="s">
        <v>2461</v>
      </c>
      <c r="C58" t="s">
        <v>17</v>
      </c>
      <c r="D58" t="s">
        <v>255</v>
      </c>
      <c r="E58" t="s">
        <v>256</v>
      </c>
      <c r="F58">
        <v>1000</v>
      </c>
      <c r="G58" t="s">
        <v>2497</v>
      </c>
      <c r="H58" t="s">
        <v>1773</v>
      </c>
      <c r="I58" t="s">
        <v>2367</v>
      </c>
      <c r="J58" t="s">
        <v>2247</v>
      </c>
    </row>
    <row r="59" spans="2:10" x14ac:dyDescent="0.25">
      <c r="B59" t="s">
        <v>2461</v>
      </c>
      <c r="C59" t="s">
        <v>17</v>
      </c>
      <c r="D59" t="s">
        <v>255</v>
      </c>
      <c r="E59" t="s">
        <v>256</v>
      </c>
      <c r="F59">
        <v>240</v>
      </c>
      <c r="G59" t="s">
        <v>2498</v>
      </c>
      <c r="H59" t="s">
        <v>1654</v>
      </c>
      <c r="I59" t="s">
        <v>2367</v>
      </c>
      <c r="J59" t="s">
        <v>2247</v>
      </c>
    </row>
    <row r="60" spans="2:10" x14ac:dyDescent="0.25">
      <c r="B60" t="s">
        <v>2461</v>
      </c>
      <c r="C60" t="s">
        <v>237</v>
      </c>
      <c r="D60" t="s">
        <v>1063</v>
      </c>
      <c r="E60" t="s">
        <v>1064</v>
      </c>
      <c r="F60">
        <v>2</v>
      </c>
      <c r="G60" t="s">
        <v>2499</v>
      </c>
      <c r="H60" t="s">
        <v>1815</v>
      </c>
      <c r="I60" t="s">
        <v>2246</v>
      </c>
      <c r="J60" t="s">
        <v>2247</v>
      </c>
    </row>
    <row r="61" spans="2:10" x14ac:dyDescent="0.25">
      <c r="B61" t="s">
        <v>2461</v>
      </c>
      <c r="C61" t="s">
        <v>237</v>
      </c>
      <c r="D61" t="s">
        <v>1063</v>
      </c>
      <c r="E61" t="s">
        <v>1064</v>
      </c>
      <c r="F61">
        <v>2</v>
      </c>
      <c r="G61" t="s">
        <v>2500</v>
      </c>
      <c r="H61" t="s">
        <v>1956</v>
      </c>
      <c r="I61" t="s">
        <v>2246</v>
      </c>
      <c r="J61" t="s">
        <v>2247</v>
      </c>
    </row>
    <row r="62" spans="2:10" x14ac:dyDescent="0.25">
      <c r="B62" t="s">
        <v>2461</v>
      </c>
      <c r="C62" t="s">
        <v>25</v>
      </c>
      <c r="D62" t="s">
        <v>286</v>
      </c>
      <c r="E62" t="s">
        <v>287</v>
      </c>
      <c r="F62">
        <v>200</v>
      </c>
      <c r="G62" t="s">
        <v>2501</v>
      </c>
      <c r="H62" t="s">
        <v>1815</v>
      </c>
      <c r="I62" t="s">
        <v>2295</v>
      </c>
      <c r="J62" t="s">
        <v>2247</v>
      </c>
    </row>
    <row r="63" spans="2:10" x14ac:dyDescent="0.25">
      <c r="B63" t="s">
        <v>2461</v>
      </c>
      <c r="C63" t="s">
        <v>80</v>
      </c>
      <c r="D63" t="s">
        <v>572</v>
      </c>
      <c r="E63" t="s">
        <v>573</v>
      </c>
      <c r="F63">
        <v>30</v>
      </c>
      <c r="G63" t="s">
        <v>2501</v>
      </c>
      <c r="H63" t="s">
        <v>1815</v>
      </c>
      <c r="I63" t="s">
        <v>2295</v>
      </c>
      <c r="J63" t="s">
        <v>2247</v>
      </c>
    </row>
    <row r="64" spans="2:10" x14ac:dyDescent="0.25">
      <c r="B64" t="s">
        <v>2461</v>
      </c>
      <c r="C64" t="s">
        <v>80</v>
      </c>
      <c r="D64" t="s">
        <v>240</v>
      </c>
      <c r="E64" t="s">
        <v>241</v>
      </c>
      <c r="F64">
        <v>225</v>
      </c>
      <c r="G64" t="s">
        <v>2501</v>
      </c>
      <c r="H64" t="s">
        <v>1815</v>
      </c>
      <c r="I64" t="s">
        <v>2295</v>
      </c>
      <c r="J64" t="s">
        <v>2247</v>
      </c>
    </row>
    <row r="65" spans="2:10" x14ac:dyDescent="0.25">
      <c r="B65" t="s">
        <v>2461</v>
      </c>
      <c r="C65" t="s">
        <v>80</v>
      </c>
      <c r="D65" t="s">
        <v>240</v>
      </c>
      <c r="E65" t="s">
        <v>241</v>
      </c>
      <c r="F65">
        <v>220</v>
      </c>
      <c r="G65" t="s">
        <v>2501</v>
      </c>
      <c r="H65" t="s">
        <v>1815</v>
      </c>
      <c r="I65" t="s">
        <v>2295</v>
      </c>
      <c r="J65" t="s">
        <v>2247</v>
      </c>
    </row>
    <row r="66" spans="2:10" x14ac:dyDescent="0.25">
      <c r="B66" t="s">
        <v>2461</v>
      </c>
      <c r="C66" t="s">
        <v>80</v>
      </c>
      <c r="D66" t="s">
        <v>240</v>
      </c>
      <c r="E66" t="s">
        <v>241</v>
      </c>
      <c r="F66">
        <v>140</v>
      </c>
      <c r="G66" t="s">
        <v>2501</v>
      </c>
      <c r="H66" t="s">
        <v>1815</v>
      </c>
      <c r="I66" t="s">
        <v>2295</v>
      </c>
      <c r="J66" t="s">
        <v>2247</v>
      </c>
    </row>
    <row r="67" spans="2:10" x14ac:dyDescent="0.25">
      <c r="B67" t="s">
        <v>2461</v>
      </c>
      <c r="C67" t="s">
        <v>80</v>
      </c>
      <c r="D67" t="s">
        <v>240</v>
      </c>
      <c r="E67" t="s">
        <v>241</v>
      </c>
      <c r="F67">
        <v>40</v>
      </c>
      <c r="G67" t="s">
        <v>2501</v>
      </c>
      <c r="H67" t="s">
        <v>1815</v>
      </c>
      <c r="I67" t="s">
        <v>2295</v>
      </c>
      <c r="J67" t="s">
        <v>2247</v>
      </c>
    </row>
    <row r="68" spans="2:10" x14ac:dyDescent="0.25">
      <c r="B68" t="s">
        <v>2461</v>
      </c>
      <c r="C68" t="s">
        <v>269</v>
      </c>
      <c r="D68" t="s">
        <v>270</v>
      </c>
      <c r="E68" t="s">
        <v>271</v>
      </c>
      <c r="F68">
        <v>250</v>
      </c>
      <c r="G68" t="s">
        <v>2502</v>
      </c>
      <c r="H68" t="s">
        <v>2148</v>
      </c>
      <c r="I68" t="s">
        <v>2246</v>
      </c>
      <c r="J68" t="s">
        <v>2247</v>
      </c>
    </row>
    <row r="69" spans="2:10" x14ac:dyDescent="0.25">
      <c r="B69" t="s">
        <v>2461</v>
      </c>
      <c r="C69" t="s">
        <v>145</v>
      </c>
      <c r="D69" t="s">
        <v>146</v>
      </c>
      <c r="E69" t="s">
        <v>147</v>
      </c>
      <c r="F69">
        <v>140</v>
      </c>
      <c r="G69" t="s">
        <v>2503</v>
      </c>
      <c r="H69" t="s">
        <v>1773</v>
      </c>
      <c r="I69" t="s">
        <v>1973</v>
      </c>
      <c r="J69" t="s">
        <v>2247</v>
      </c>
    </row>
    <row r="70" spans="2:10" x14ac:dyDescent="0.25">
      <c r="B70" t="s">
        <v>2461</v>
      </c>
      <c r="C70" t="s">
        <v>120</v>
      </c>
      <c r="D70" t="s">
        <v>834</v>
      </c>
      <c r="E70" t="s">
        <v>835</v>
      </c>
      <c r="F70">
        <v>100</v>
      </c>
      <c r="G70" t="s">
        <v>2503</v>
      </c>
      <c r="H70" t="s">
        <v>1773</v>
      </c>
      <c r="I70" t="s">
        <v>1973</v>
      </c>
      <c r="J70" t="s">
        <v>2247</v>
      </c>
    </row>
    <row r="71" spans="2:10" x14ac:dyDescent="0.25">
      <c r="B71" t="s">
        <v>2461</v>
      </c>
      <c r="C71" t="s">
        <v>120</v>
      </c>
      <c r="D71" t="s">
        <v>834</v>
      </c>
      <c r="E71" t="s">
        <v>835</v>
      </c>
      <c r="F71">
        <v>40</v>
      </c>
      <c r="G71" t="s">
        <v>2504</v>
      </c>
      <c r="H71" t="s">
        <v>1622</v>
      </c>
      <c r="I71" t="s">
        <v>1973</v>
      </c>
      <c r="J71" t="s">
        <v>2247</v>
      </c>
    </row>
    <row r="72" spans="2:10" x14ac:dyDescent="0.25">
      <c r="B72" t="s">
        <v>2461</v>
      </c>
      <c r="C72" t="s">
        <v>120</v>
      </c>
      <c r="D72" t="s">
        <v>540</v>
      </c>
      <c r="E72" t="s">
        <v>541</v>
      </c>
      <c r="F72">
        <v>120</v>
      </c>
      <c r="G72" t="s">
        <v>2503</v>
      </c>
      <c r="H72" t="s">
        <v>1773</v>
      </c>
      <c r="I72" t="s">
        <v>1973</v>
      </c>
      <c r="J72" t="s">
        <v>2247</v>
      </c>
    </row>
    <row r="73" spans="2:10" x14ac:dyDescent="0.25">
      <c r="B73" t="s">
        <v>2461</v>
      </c>
      <c r="C73" t="s">
        <v>120</v>
      </c>
      <c r="D73" t="s">
        <v>1014</v>
      </c>
      <c r="E73" t="s">
        <v>1015</v>
      </c>
      <c r="F73">
        <v>24</v>
      </c>
      <c r="G73" t="s">
        <v>2504</v>
      </c>
      <c r="H73" t="s">
        <v>1622</v>
      </c>
      <c r="I73" t="s">
        <v>1973</v>
      </c>
      <c r="J73" t="s">
        <v>2247</v>
      </c>
    </row>
    <row r="74" spans="2:10" x14ac:dyDescent="0.25">
      <c r="B74" t="s">
        <v>2461</v>
      </c>
      <c r="C74" t="s">
        <v>25</v>
      </c>
      <c r="D74" t="s">
        <v>470</v>
      </c>
      <c r="E74" t="s">
        <v>471</v>
      </c>
      <c r="F74">
        <v>72</v>
      </c>
      <c r="G74" t="s">
        <v>2503</v>
      </c>
      <c r="H74" t="s">
        <v>1773</v>
      </c>
      <c r="I74" t="s">
        <v>1973</v>
      </c>
      <c r="J74" t="s">
        <v>2247</v>
      </c>
    </row>
    <row r="75" spans="2:10" x14ac:dyDescent="0.25">
      <c r="B75" t="s">
        <v>2461</v>
      </c>
      <c r="C75" t="s">
        <v>705</v>
      </c>
      <c r="D75" t="s">
        <v>1117</v>
      </c>
      <c r="E75" t="s">
        <v>1118</v>
      </c>
      <c r="F75">
        <v>50</v>
      </c>
      <c r="G75" t="s">
        <v>2503</v>
      </c>
      <c r="H75" t="s">
        <v>1773</v>
      </c>
      <c r="I75" t="s">
        <v>1973</v>
      </c>
      <c r="J75" t="s">
        <v>2247</v>
      </c>
    </row>
    <row r="76" spans="2:10" x14ac:dyDescent="0.25">
      <c r="B76" t="s">
        <v>2461</v>
      </c>
      <c r="C76" t="s">
        <v>11</v>
      </c>
      <c r="D76" t="s">
        <v>1388</v>
      </c>
      <c r="E76" t="s">
        <v>1389</v>
      </c>
      <c r="F76">
        <v>70</v>
      </c>
      <c r="G76" t="s">
        <v>2503</v>
      </c>
      <c r="H76" t="s">
        <v>1773</v>
      </c>
      <c r="I76" t="s">
        <v>1973</v>
      </c>
      <c r="J76" t="s">
        <v>2247</v>
      </c>
    </row>
    <row r="77" spans="2:10" x14ac:dyDescent="0.25">
      <c r="B77" t="s">
        <v>2461</v>
      </c>
      <c r="C77" t="s">
        <v>209</v>
      </c>
      <c r="D77" t="s">
        <v>210</v>
      </c>
      <c r="E77" t="s">
        <v>211</v>
      </c>
      <c r="F77">
        <v>40</v>
      </c>
      <c r="G77" t="s">
        <v>2503</v>
      </c>
      <c r="H77" t="s">
        <v>1773</v>
      </c>
      <c r="I77" t="s">
        <v>1973</v>
      </c>
      <c r="J77" t="s">
        <v>2247</v>
      </c>
    </row>
    <row r="78" spans="2:10" x14ac:dyDescent="0.25">
      <c r="B78" t="s">
        <v>2461</v>
      </c>
      <c r="C78" t="s">
        <v>209</v>
      </c>
      <c r="D78" t="s">
        <v>965</v>
      </c>
      <c r="E78" t="s">
        <v>966</v>
      </c>
      <c r="F78">
        <v>40</v>
      </c>
      <c r="G78" t="s">
        <v>2503</v>
      </c>
      <c r="H78" t="s">
        <v>1773</v>
      </c>
      <c r="I78" t="s">
        <v>1973</v>
      </c>
      <c r="J78" t="s">
        <v>2247</v>
      </c>
    </row>
    <row r="79" spans="2:10" x14ac:dyDescent="0.25">
      <c r="B79" t="s">
        <v>2461</v>
      </c>
      <c r="C79" t="s">
        <v>161</v>
      </c>
      <c r="D79" t="s">
        <v>1121</v>
      </c>
      <c r="E79" t="s">
        <v>1122</v>
      </c>
      <c r="F79">
        <v>40</v>
      </c>
      <c r="G79" t="s">
        <v>2504</v>
      </c>
      <c r="H79" t="s">
        <v>1622</v>
      </c>
      <c r="I79" t="s">
        <v>1973</v>
      </c>
      <c r="J79" t="s">
        <v>2247</v>
      </c>
    </row>
    <row r="80" spans="2:10" x14ac:dyDescent="0.25">
      <c r="B80" t="s">
        <v>2461</v>
      </c>
      <c r="C80" t="s">
        <v>161</v>
      </c>
      <c r="D80" t="s">
        <v>1121</v>
      </c>
      <c r="E80" t="s">
        <v>1122</v>
      </c>
      <c r="F80">
        <v>60</v>
      </c>
      <c r="G80" t="s">
        <v>2504</v>
      </c>
      <c r="H80" t="s">
        <v>1622</v>
      </c>
      <c r="I80" t="s">
        <v>1973</v>
      </c>
      <c r="J80" t="s">
        <v>2247</v>
      </c>
    </row>
    <row r="81" spans="2:10" x14ac:dyDescent="0.25">
      <c r="B81" t="s">
        <v>2461</v>
      </c>
      <c r="C81" t="s">
        <v>52</v>
      </c>
      <c r="D81" t="s">
        <v>578</v>
      </c>
      <c r="E81" t="s">
        <v>579</v>
      </c>
      <c r="F81">
        <v>35</v>
      </c>
      <c r="G81" t="s">
        <v>2503</v>
      </c>
      <c r="H81" t="s">
        <v>1773</v>
      </c>
      <c r="I81" t="s">
        <v>1973</v>
      </c>
      <c r="J81" t="s">
        <v>2247</v>
      </c>
    </row>
    <row r="82" spans="2:10" x14ac:dyDescent="0.25">
      <c r="B82" t="s">
        <v>2461</v>
      </c>
      <c r="C82" t="s">
        <v>705</v>
      </c>
      <c r="D82" t="s">
        <v>706</v>
      </c>
      <c r="E82" t="s">
        <v>707</v>
      </c>
      <c r="F82">
        <v>100</v>
      </c>
      <c r="G82" t="s">
        <v>2503</v>
      </c>
      <c r="H82" t="s">
        <v>1773</v>
      </c>
      <c r="I82" t="s">
        <v>1973</v>
      </c>
      <c r="J82" t="s">
        <v>2247</v>
      </c>
    </row>
    <row r="83" spans="2:10" x14ac:dyDescent="0.25">
      <c r="B83" t="s">
        <v>2461</v>
      </c>
      <c r="C83" t="s">
        <v>20</v>
      </c>
      <c r="D83" t="s">
        <v>459</v>
      </c>
      <c r="E83" t="s">
        <v>460</v>
      </c>
      <c r="F83">
        <v>220</v>
      </c>
      <c r="G83" t="s">
        <v>2503</v>
      </c>
      <c r="H83" t="s">
        <v>1773</v>
      </c>
      <c r="I83" t="s">
        <v>1973</v>
      </c>
      <c r="J83" t="s">
        <v>2247</v>
      </c>
    </row>
    <row r="84" spans="2:10" x14ac:dyDescent="0.25">
      <c r="B84" t="s">
        <v>2461</v>
      </c>
      <c r="C84" t="s">
        <v>20</v>
      </c>
      <c r="D84" t="s">
        <v>1003</v>
      </c>
      <c r="E84" t="s">
        <v>1004</v>
      </c>
      <c r="F84">
        <v>50</v>
      </c>
      <c r="G84" t="s">
        <v>2503</v>
      </c>
      <c r="H84" t="s">
        <v>1773</v>
      </c>
      <c r="I84" t="s">
        <v>1973</v>
      </c>
      <c r="J84" t="s">
        <v>2247</v>
      </c>
    </row>
    <row r="85" spans="2:10" x14ac:dyDescent="0.25">
      <c r="B85" t="s">
        <v>2461</v>
      </c>
      <c r="C85" t="s">
        <v>20</v>
      </c>
      <c r="D85" t="s">
        <v>1003</v>
      </c>
      <c r="E85" t="s">
        <v>1004</v>
      </c>
      <c r="F85">
        <v>20</v>
      </c>
      <c r="G85" t="s">
        <v>2504</v>
      </c>
      <c r="H85" t="s">
        <v>1622</v>
      </c>
      <c r="I85" t="s">
        <v>1973</v>
      </c>
      <c r="J85" t="s">
        <v>2247</v>
      </c>
    </row>
    <row r="86" spans="2:10" x14ac:dyDescent="0.25">
      <c r="B86" t="s">
        <v>2461</v>
      </c>
      <c r="C86" t="s">
        <v>8</v>
      </c>
      <c r="D86" t="s">
        <v>605</v>
      </c>
      <c r="E86" t="s">
        <v>606</v>
      </c>
      <c r="F86">
        <v>100</v>
      </c>
      <c r="G86" t="s">
        <v>2504</v>
      </c>
      <c r="H86" t="s">
        <v>1622</v>
      </c>
      <c r="I86" t="s">
        <v>1973</v>
      </c>
      <c r="J86" t="s">
        <v>2247</v>
      </c>
    </row>
    <row r="87" spans="2:10" x14ac:dyDescent="0.25">
      <c r="B87" t="s">
        <v>2461</v>
      </c>
      <c r="C87" t="s">
        <v>8</v>
      </c>
      <c r="D87" t="s">
        <v>1340</v>
      </c>
      <c r="E87" t="s">
        <v>1341</v>
      </c>
      <c r="F87">
        <v>120</v>
      </c>
      <c r="G87" t="s">
        <v>2504</v>
      </c>
      <c r="H87" t="s">
        <v>1622</v>
      </c>
      <c r="I87" t="s">
        <v>1973</v>
      </c>
      <c r="J87" t="s">
        <v>2247</v>
      </c>
    </row>
    <row r="88" spans="2:10" x14ac:dyDescent="0.25">
      <c r="B88" t="s">
        <v>2461</v>
      </c>
      <c r="C88" t="s">
        <v>551</v>
      </c>
      <c r="D88" t="s">
        <v>552</v>
      </c>
      <c r="E88" t="s">
        <v>553</v>
      </c>
      <c r="F88">
        <v>100</v>
      </c>
      <c r="G88" t="s">
        <v>2503</v>
      </c>
      <c r="H88" t="s">
        <v>1773</v>
      </c>
      <c r="I88" t="s">
        <v>1973</v>
      </c>
      <c r="J88" t="s">
        <v>2247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Parâmetros</vt:lpstr>
      <vt:lpstr>Relatório</vt:lpstr>
      <vt:lpstr>Estoque Inicial</vt:lpstr>
      <vt:lpstr>Estoque Final</vt:lpstr>
      <vt:lpstr>Produções</vt:lpstr>
      <vt:lpstr>Vendas PR</vt:lpstr>
      <vt:lpstr>Vendas EX</vt:lpstr>
      <vt:lpstr>Outras Vendas</vt:lpstr>
      <vt:lpstr>Dev. PR</vt:lpstr>
      <vt:lpstr>Dev. Ex</vt:lpstr>
      <vt:lpstr>Dev. UFs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Djonata Guizzo</dc:creator>
  <cp:lastModifiedBy>Djonata Guizzo</cp:lastModifiedBy>
  <dcterms:created xsi:type="dcterms:W3CDTF">2014-06-16T17:37:36Z</dcterms:created>
  <dcterms:modified xsi:type="dcterms:W3CDTF">2014-06-17T14:45:56Z</dcterms:modified>
</cp:coreProperties>
</file>